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NAMNN\Google Drive\FAST\KH\CIRCUS\08.DOC\"/>
    </mc:Choice>
  </mc:AlternateContent>
  <xr:revisionPtr revIDLastSave="0" documentId="13_ncr:1_{DA7C4377-4315-4519-AADB-36E510F96F00}" xr6:coauthVersionLast="45" xr6:coauthVersionMax="45" xr10:uidLastSave="{00000000-0000-0000-0000-000000000000}"/>
  <bookViews>
    <workbookView xWindow="-108" yWindow="-108" windowWidth="23256" windowHeight="12576" tabRatio="1000" activeTab="2" xr2:uid="{00000000-000D-0000-FFFF-FFFF00000000}"/>
  </bookViews>
  <sheets>
    <sheet name="List of reports" sheetId="5" r:id="rId1"/>
    <sheet name="1" sheetId="4" r:id="rId2"/>
    <sheet name="2" sheetId="7" r:id="rId3"/>
    <sheet name="3" sheetId="8" r:id="rId4"/>
    <sheet name="4" sheetId="10" r:id="rId5"/>
    <sheet name="5" sheetId="9" r:id="rId6"/>
    <sheet name="6" sheetId="12" r:id="rId7"/>
    <sheet name="7" sheetId="21" r:id="rId8"/>
    <sheet name="8" sheetId="22" r:id="rId9"/>
    <sheet name="9" sheetId="11" r:id="rId10"/>
    <sheet name="10" sheetId="14" r:id="rId11"/>
    <sheet name="11" sheetId="18" r:id="rId12"/>
    <sheet name="12" sheetId="15" r:id="rId13"/>
    <sheet name="13" sheetId="16" r:id="rId14"/>
    <sheet name="14" sheetId="17" r:id="rId15"/>
    <sheet name="15" sheetId="19" r:id="rId16"/>
  </sheets>
  <externalReferences>
    <externalReference r:id="rId17"/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6" i="22" l="1"/>
  <c r="G36" i="22"/>
  <c r="N34" i="22"/>
  <c r="K34" i="22"/>
  <c r="I34" i="22"/>
  <c r="H34" i="22"/>
  <c r="G34" i="22"/>
  <c r="N33" i="22"/>
  <c r="C32" i="22"/>
  <c r="N27" i="22"/>
  <c r="K27" i="22"/>
  <c r="I27" i="22"/>
  <c r="H27" i="22"/>
  <c r="G27" i="22"/>
  <c r="N26" i="22"/>
  <c r="C25" i="22"/>
  <c r="N21" i="22"/>
  <c r="K21" i="22"/>
  <c r="K36" i="22" s="1"/>
  <c r="I21" i="22"/>
  <c r="I36" i="22" s="1"/>
  <c r="H21" i="22"/>
  <c r="H36" i="22" s="1"/>
  <c r="G21" i="22"/>
  <c r="N19" i="22"/>
  <c r="C18" i="22"/>
  <c r="C17" i="22"/>
  <c r="N13" i="22"/>
  <c r="M12" i="22"/>
  <c r="M11" i="22"/>
  <c r="M10" i="22"/>
  <c r="N25" i="21"/>
  <c r="M25" i="21"/>
  <c r="L25" i="21"/>
  <c r="K25" i="21"/>
  <c r="H25" i="21"/>
  <c r="F25" i="21"/>
  <c r="F26" i="21" s="1"/>
  <c r="Q23" i="21"/>
  <c r="Q25" i="21" s="1"/>
  <c r="O23" i="21"/>
  <c r="O25" i="21" s="1"/>
  <c r="N23" i="21"/>
  <c r="M23" i="21"/>
  <c r="L23" i="21"/>
  <c r="K23" i="21"/>
  <c r="J23" i="21"/>
  <c r="J25" i="21" s="1"/>
  <c r="I23" i="21"/>
  <c r="I25" i="21" s="1"/>
  <c r="H23" i="21"/>
  <c r="G23" i="21"/>
  <c r="G25" i="21" s="1"/>
  <c r="F23" i="21"/>
  <c r="E22" i="21"/>
  <c r="D21" i="21"/>
  <c r="E21" i="21" s="1"/>
  <c r="E20" i="21"/>
  <c r="D20" i="21"/>
  <c r="D19" i="21"/>
  <c r="E19" i="21" s="1"/>
  <c r="C19" i="21"/>
  <c r="C23" i="21" s="1"/>
  <c r="C25" i="21" s="1"/>
  <c r="E18" i="21"/>
  <c r="D18" i="21"/>
  <c r="D17" i="21"/>
  <c r="E17" i="21" s="1"/>
  <c r="D16" i="21"/>
  <c r="E16" i="21" s="1"/>
  <c r="D15" i="21"/>
  <c r="E15" i="21" s="1"/>
  <c r="P14" i="21"/>
  <c r="D14" i="21" s="1"/>
  <c r="E14" i="21" s="1"/>
  <c r="P13" i="21"/>
  <c r="P23" i="21" s="1"/>
  <c r="D13" i="21"/>
  <c r="E13" i="21" s="1"/>
  <c r="D12" i="21"/>
  <c r="E12" i="21" s="1"/>
  <c r="P10" i="21"/>
  <c r="D10" i="21" s="1"/>
  <c r="G26" i="21" l="1"/>
  <c r="H26" i="21" s="1"/>
  <c r="I26" i="21" s="1"/>
  <c r="J26" i="21" s="1"/>
  <c r="K26" i="21" s="1"/>
  <c r="L26" i="21" s="1"/>
  <c r="M26" i="21" s="1"/>
  <c r="N26" i="21" s="1"/>
  <c r="O26" i="21" s="1"/>
  <c r="P26" i="21" s="1"/>
  <c r="Q26" i="21" s="1"/>
  <c r="E10" i="21"/>
  <c r="D25" i="21"/>
  <c r="E25" i="21" s="1"/>
  <c r="D23" i="21"/>
  <c r="E23" i="21" s="1"/>
  <c r="P25" i="21"/>
  <c r="J14" i="7"/>
  <c r="P14" i="7" l="1"/>
  <c r="Q14" i="7" s="1"/>
  <c r="R14" i="7" s="1"/>
  <c r="J15" i="7" l="1"/>
  <c r="D15" i="12" l="1"/>
  <c r="N31" i="18" l="1"/>
  <c r="N30" i="18"/>
  <c r="N27" i="18"/>
  <c r="N26" i="18" s="1"/>
  <c r="M26" i="18"/>
  <c r="M33" i="18" s="1"/>
  <c r="L26" i="18"/>
  <c r="K26" i="18"/>
  <c r="J26" i="18"/>
  <c r="I26" i="18"/>
  <c r="H26" i="18"/>
  <c r="G26" i="18"/>
  <c r="F26" i="18"/>
  <c r="E26" i="18"/>
  <c r="D26" i="18"/>
  <c r="C26" i="18"/>
  <c r="B26" i="18"/>
  <c r="N25" i="18"/>
  <c r="N24" i="18"/>
  <c r="N23" i="18"/>
  <c r="M22" i="18"/>
  <c r="L22" i="18"/>
  <c r="L33" i="18" s="1"/>
  <c r="L35" i="18" s="1"/>
  <c r="K22" i="18"/>
  <c r="K33" i="18"/>
  <c r="J22" i="18"/>
  <c r="I22" i="18"/>
  <c r="H22" i="18"/>
  <c r="H33" i="18"/>
  <c r="G22" i="18"/>
  <c r="G33" i="18" s="1"/>
  <c r="F22" i="18"/>
  <c r="F33" i="18" s="1"/>
  <c r="F35" i="18" s="1"/>
  <c r="E22" i="18"/>
  <c r="D22" i="18"/>
  <c r="D33" i="18" s="1"/>
  <c r="C22" i="18"/>
  <c r="B22" i="18"/>
  <c r="K20" i="18"/>
  <c r="I20" i="18"/>
  <c r="N20" i="18" s="1"/>
  <c r="B18" i="18"/>
  <c r="M16" i="18"/>
  <c r="L16" i="18"/>
  <c r="K16" i="18"/>
  <c r="J16" i="18"/>
  <c r="I16" i="18"/>
  <c r="H16" i="18"/>
  <c r="H35" i="18" s="1"/>
  <c r="G16" i="18"/>
  <c r="F16" i="18"/>
  <c r="E16" i="18"/>
  <c r="D16" i="18"/>
  <c r="C16" i="18"/>
  <c r="B16" i="18"/>
  <c r="N14" i="18"/>
  <c r="N11" i="18"/>
  <c r="I33" i="18"/>
  <c r="I35" i="18" s="1"/>
  <c r="J33" i="18"/>
  <c r="J35" i="18" s="1"/>
  <c r="N22" i="18"/>
  <c r="F14" i="7"/>
  <c r="I21" i="17"/>
  <c r="I26" i="17"/>
  <c r="I32" i="17"/>
  <c r="H21" i="17"/>
  <c r="H26" i="17"/>
  <c r="H32" i="17"/>
  <c r="G30" i="17"/>
  <c r="G24" i="17"/>
  <c r="G19" i="17"/>
  <c r="G18" i="17"/>
  <c r="G13" i="17"/>
  <c r="G12" i="17"/>
  <c r="G11" i="17"/>
  <c r="B16" i="16"/>
  <c r="B21" i="16"/>
  <c r="B20" i="16" s="1"/>
  <c r="B25" i="16"/>
  <c r="B14" i="16"/>
  <c r="H12" i="16"/>
  <c r="H14" i="16" s="1"/>
  <c r="H13" i="16"/>
  <c r="H18" i="16"/>
  <c r="H16" i="16" s="1"/>
  <c r="H22" i="16"/>
  <c r="H21" i="16" s="1"/>
  <c r="H20" i="16" s="1"/>
  <c r="H23" i="16"/>
  <c r="H24" i="16"/>
  <c r="H26" i="16"/>
  <c r="H25" i="16" s="1"/>
  <c r="H27" i="16"/>
  <c r="H28" i="16"/>
  <c r="H29" i="16"/>
  <c r="G14" i="16"/>
  <c r="G16" i="16"/>
  <c r="G21" i="16"/>
  <c r="G20" i="16" s="1"/>
  <c r="G25" i="16"/>
  <c r="F14" i="16"/>
  <c r="F16" i="16"/>
  <c r="F21" i="16"/>
  <c r="F20" i="16" s="1"/>
  <c r="F30" i="16" s="1"/>
  <c r="F25" i="16"/>
  <c r="D12" i="16"/>
  <c r="D14" i="16" s="1"/>
  <c r="D13" i="16"/>
  <c r="D18" i="16"/>
  <c r="D16" i="16" s="1"/>
  <c r="D22" i="16"/>
  <c r="D23" i="16"/>
  <c r="D24" i="16"/>
  <c r="D26" i="16"/>
  <c r="D25" i="16" s="1"/>
  <c r="D27" i="16"/>
  <c r="D28" i="16"/>
  <c r="D29" i="16"/>
  <c r="C14" i="16"/>
  <c r="C16" i="16"/>
  <c r="C21" i="16"/>
  <c r="C25" i="16"/>
  <c r="H11" i="15"/>
  <c r="H14" i="15"/>
  <c r="H16" i="15" s="1"/>
  <c r="H15" i="15"/>
  <c r="H20" i="15"/>
  <c r="H18" i="15" s="1"/>
  <c r="H23" i="15"/>
  <c r="H24" i="15"/>
  <c r="H25" i="15"/>
  <c r="H27" i="15"/>
  <c r="H26" i="15" s="1"/>
  <c r="H28" i="15"/>
  <c r="H29" i="15"/>
  <c r="H30" i="15"/>
  <c r="G16" i="15"/>
  <c r="G18" i="15"/>
  <c r="G22" i="15"/>
  <c r="G26" i="15"/>
  <c r="G21" i="15" s="1"/>
  <c r="F16" i="15"/>
  <c r="F18" i="15"/>
  <c r="F22" i="15"/>
  <c r="F26" i="15"/>
  <c r="F21" i="15" s="1"/>
  <c r="D30" i="15"/>
  <c r="D29" i="15"/>
  <c r="D28" i="15"/>
  <c r="D27" i="15"/>
  <c r="D26" i="15" s="1"/>
  <c r="D25" i="15"/>
  <c r="D24" i="15"/>
  <c r="D23" i="15"/>
  <c r="D20" i="15"/>
  <c r="D18" i="15" s="1"/>
  <c r="D15" i="15"/>
  <c r="D14" i="15"/>
  <c r="D16" i="15" s="1"/>
  <c r="D11" i="15"/>
  <c r="C16" i="15"/>
  <c r="C18" i="15"/>
  <c r="C22" i="15"/>
  <c r="C21" i="15" s="1"/>
  <c r="C26" i="15"/>
  <c r="B16" i="15"/>
  <c r="B18" i="15"/>
  <c r="B22" i="15"/>
  <c r="B26" i="15"/>
  <c r="B21" i="15"/>
  <c r="B33" i="15" s="1"/>
  <c r="B16" i="14"/>
  <c r="B18" i="14"/>
  <c r="M16" i="14"/>
  <c r="L16" i="14"/>
  <c r="K16" i="14"/>
  <c r="J16" i="14"/>
  <c r="I16" i="14"/>
  <c r="H16" i="14"/>
  <c r="G16" i="14"/>
  <c r="F16" i="14"/>
  <c r="E16" i="14"/>
  <c r="D16" i="14"/>
  <c r="C16" i="14"/>
  <c r="N11" i="14"/>
  <c r="N14" i="14"/>
  <c r="I20" i="14"/>
  <c r="N20" i="14" s="1"/>
  <c r="K20" i="14"/>
  <c r="N23" i="14"/>
  <c r="N24" i="14"/>
  <c r="N25" i="14"/>
  <c r="N27" i="14"/>
  <c r="N30" i="14"/>
  <c r="N26" i="14"/>
  <c r="N31" i="14"/>
  <c r="B22" i="14"/>
  <c r="B26" i="14"/>
  <c r="B21" i="14"/>
  <c r="C22" i="14"/>
  <c r="C26" i="14"/>
  <c r="D22" i="14"/>
  <c r="D26" i="14"/>
  <c r="E22" i="14"/>
  <c r="E33" i="14" s="1"/>
  <c r="E35" i="14" s="1"/>
  <c r="E26" i="14"/>
  <c r="F22" i="14"/>
  <c r="F26" i="14"/>
  <c r="G22" i="14"/>
  <c r="G33" i="14"/>
  <c r="G26" i="14"/>
  <c r="H22" i="14"/>
  <c r="H26" i="14"/>
  <c r="I22" i="14"/>
  <c r="I26" i="14"/>
  <c r="J22" i="14"/>
  <c r="J33" i="14" s="1"/>
  <c r="J35" i="14" s="1"/>
  <c r="J26" i="14"/>
  <c r="K22" i="14"/>
  <c r="K33" i="14" s="1"/>
  <c r="K35" i="14" s="1"/>
  <c r="K26" i="14"/>
  <c r="L22" i="14"/>
  <c r="L26" i="14"/>
  <c r="L33" i="14" s="1"/>
  <c r="L35" i="14" s="1"/>
  <c r="M22" i="14"/>
  <c r="M26" i="14"/>
  <c r="M33" i="14" s="1"/>
  <c r="F23" i="12"/>
  <c r="F25" i="12"/>
  <c r="F26" i="12" s="1"/>
  <c r="G23" i="12"/>
  <c r="G25" i="12" s="1"/>
  <c r="H23" i="12"/>
  <c r="H25" i="12"/>
  <c r="I23" i="12"/>
  <c r="I25" i="12" s="1"/>
  <c r="J23" i="12"/>
  <c r="J25" i="12" s="1"/>
  <c r="K23" i="12"/>
  <c r="K25" i="12" s="1"/>
  <c r="L23" i="12"/>
  <c r="L25" i="12" s="1"/>
  <c r="M23" i="12"/>
  <c r="M25" i="12" s="1"/>
  <c r="N23" i="12"/>
  <c r="N25" i="12" s="1"/>
  <c r="O23" i="12"/>
  <c r="O25" i="12" s="1"/>
  <c r="P10" i="12"/>
  <c r="D10" i="12"/>
  <c r="P13" i="12"/>
  <c r="D13" i="12" s="1"/>
  <c r="P14" i="12"/>
  <c r="D14" i="12" s="1"/>
  <c r="Q23" i="12"/>
  <c r="Q25" i="12" s="1"/>
  <c r="D12" i="12"/>
  <c r="E12" i="12" s="1"/>
  <c r="E15" i="12"/>
  <c r="D16" i="12"/>
  <c r="D17" i="12"/>
  <c r="D18" i="12"/>
  <c r="E18" i="12" s="1"/>
  <c r="D19" i="12"/>
  <c r="E19" i="12" s="1"/>
  <c r="D20" i="12"/>
  <c r="E20" i="12" s="1"/>
  <c r="D21" i="12"/>
  <c r="E21" i="12" s="1"/>
  <c r="C19" i="12"/>
  <c r="C23" i="12" s="1"/>
  <c r="C25" i="12" s="1"/>
  <c r="E22" i="12"/>
  <c r="E17" i="12"/>
  <c r="E16" i="12"/>
  <c r="E13" i="12"/>
  <c r="N33" i="11"/>
  <c r="N26" i="11"/>
  <c r="N19" i="11"/>
  <c r="N13" i="11"/>
  <c r="N36" i="11" s="1"/>
  <c r="M11" i="11"/>
  <c r="M12" i="11"/>
  <c r="M10" i="11"/>
  <c r="N21" i="11"/>
  <c r="N27" i="11"/>
  <c r="N34" i="11"/>
  <c r="H21" i="11"/>
  <c r="H27" i="11"/>
  <c r="H36" i="11" s="1"/>
  <c r="H34" i="11"/>
  <c r="I21" i="11"/>
  <c r="I36" i="11" s="1"/>
  <c r="I27" i="11"/>
  <c r="I34" i="11"/>
  <c r="K21" i="11"/>
  <c r="K27" i="11"/>
  <c r="K34" i="11"/>
  <c r="K36" i="11" s="1"/>
  <c r="G21" i="11"/>
  <c r="G36" i="11" s="1"/>
  <c r="G27" i="11"/>
  <c r="G34" i="11"/>
  <c r="C32" i="11"/>
  <c r="C25" i="11"/>
  <c r="C18" i="11"/>
  <c r="C17" i="11"/>
  <c r="L10" i="8"/>
  <c r="L11" i="8"/>
  <c r="L12" i="8"/>
  <c r="M15" i="7"/>
  <c r="M16" i="7"/>
  <c r="M14" i="7"/>
  <c r="F16" i="7"/>
  <c r="F15" i="7"/>
  <c r="E10" i="12"/>
  <c r="I33" i="14" l="1"/>
  <c r="B33" i="14"/>
  <c r="B35" i="14" s="1"/>
  <c r="B37" i="14" s="1"/>
  <c r="C11" i="14" s="1"/>
  <c r="C33" i="15"/>
  <c r="C35" i="15" s="1"/>
  <c r="C37" i="15" s="1"/>
  <c r="F33" i="15"/>
  <c r="F35" i="15" s="1"/>
  <c r="F37" i="15" s="1"/>
  <c r="G30" i="16"/>
  <c r="G32" i="16" s="1"/>
  <c r="B30" i="16"/>
  <c r="B32" i="16" s="1"/>
  <c r="K35" i="18"/>
  <c r="C33" i="18"/>
  <c r="C35" i="18" s="1"/>
  <c r="H33" i="14"/>
  <c r="H35" i="14" s="1"/>
  <c r="B35" i="15"/>
  <c r="B37" i="15" s="1"/>
  <c r="H30" i="16"/>
  <c r="H32" i="16" s="1"/>
  <c r="N33" i="18"/>
  <c r="D35" i="18"/>
  <c r="E33" i="18"/>
  <c r="E35" i="18" s="1"/>
  <c r="D33" i="14"/>
  <c r="C20" i="16"/>
  <c r="C30" i="16" s="1"/>
  <c r="C32" i="16" s="1"/>
  <c r="M35" i="18"/>
  <c r="G35" i="14"/>
  <c r="H22" i="15"/>
  <c r="H21" i="15" s="1"/>
  <c r="H33" i="15" s="1"/>
  <c r="H35" i="15" s="1"/>
  <c r="H37" i="15" s="1"/>
  <c r="D21" i="16"/>
  <c r="C33" i="14"/>
  <c r="C35" i="14" s="1"/>
  <c r="F32" i="16"/>
  <c r="F33" i="14"/>
  <c r="N22" i="14"/>
  <c r="N33" i="14" s="1"/>
  <c r="M35" i="14"/>
  <c r="D22" i="15"/>
  <c r="D21" i="15" s="1"/>
  <c r="B21" i="18"/>
  <c r="D23" i="12"/>
  <c r="E14" i="12"/>
  <c r="F35" i="14"/>
  <c r="I35" i="14"/>
  <c r="B33" i="18"/>
  <c r="B35" i="18" s="1"/>
  <c r="B37" i="18" s="1"/>
  <c r="C11" i="18" s="1"/>
  <c r="C37" i="18" s="1"/>
  <c r="D11" i="18" s="1"/>
  <c r="D37" i="18" s="1"/>
  <c r="E11" i="18" s="1"/>
  <c r="E37" i="18" s="1"/>
  <c r="F11" i="18" s="1"/>
  <c r="F37" i="18" s="1"/>
  <c r="G11" i="18" s="1"/>
  <c r="G37" i="18" s="1"/>
  <c r="H11" i="18" s="1"/>
  <c r="H37" i="18" s="1"/>
  <c r="I11" i="18" s="1"/>
  <c r="I37" i="18" s="1"/>
  <c r="J11" i="18" s="1"/>
  <c r="J37" i="18" s="1"/>
  <c r="K11" i="18" s="1"/>
  <c r="K37" i="18" s="1"/>
  <c r="L11" i="18" s="1"/>
  <c r="L37" i="18" s="1"/>
  <c r="M11" i="18" s="1"/>
  <c r="M37" i="18" s="1"/>
  <c r="G35" i="18"/>
  <c r="G33" i="15"/>
  <c r="G35" i="15" s="1"/>
  <c r="G37" i="15" s="1"/>
  <c r="D20" i="16"/>
  <c r="D30" i="16" s="1"/>
  <c r="D32" i="16" s="1"/>
  <c r="D35" i="14"/>
  <c r="D33" i="15"/>
  <c r="D35" i="15" s="1"/>
  <c r="D37" i="15" s="1"/>
  <c r="P23" i="12"/>
  <c r="P25" i="12" s="1"/>
  <c r="G26" i="12"/>
  <c r="H26" i="12" s="1"/>
  <c r="I26" i="12" s="1"/>
  <c r="J26" i="12" s="1"/>
  <c r="K26" i="12" s="1"/>
  <c r="L26" i="12" s="1"/>
  <c r="M26" i="12" s="1"/>
  <c r="N26" i="12" s="1"/>
  <c r="O26" i="12" s="1"/>
  <c r="P26" i="12" s="1"/>
  <c r="Q26" i="12" s="1"/>
  <c r="C37" i="14" l="1"/>
  <c r="D11" i="14" s="1"/>
  <c r="D37" i="14" s="1"/>
  <c r="E11" i="14" s="1"/>
  <c r="E37" i="14" s="1"/>
  <c r="F11" i="14" s="1"/>
  <c r="F37" i="14" s="1"/>
  <c r="G11" i="14" s="1"/>
  <c r="G37" i="14" s="1"/>
  <c r="H11" i="14" s="1"/>
  <c r="H37" i="14" s="1"/>
  <c r="I11" i="14" s="1"/>
  <c r="I37" i="14" s="1"/>
  <c r="J11" i="14" s="1"/>
  <c r="J37" i="14" s="1"/>
  <c r="K11" i="14" s="1"/>
  <c r="K37" i="14" s="1"/>
  <c r="L11" i="14" s="1"/>
  <c r="L37" i="14" s="1"/>
  <c r="M11" i="14" s="1"/>
  <c r="M37" i="14" s="1"/>
  <c r="E23" i="12"/>
  <c r="D25" i="12"/>
  <c r="E25" i="12" s="1"/>
  <c r="N37" i="18"/>
  <c r="N35" i="18"/>
  <c r="N16" i="18"/>
  <c r="N16" i="14"/>
  <c r="N35" i="14"/>
  <c r="N3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F1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Lấy ngày hợp đồng cuối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Asus</author>
  </authors>
  <commentList>
    <comment ref="N1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Beginning balance Jan 2018
</t>
        </r>
      </text>
    </comment>
    <comment ref="K24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Company trip: 540M</t>
        </r>
        <r>
          <rPr>
            <sz val="9"/>
            <color indexed="81"/>
            <rFont val="Tahoma"/>
            <family val="2"/>
          </rPr>
          <t xml:space="preserve">
Office rental: 321M</t>
        </r>
      </text>
    </comment>
    <comment ref="B25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Thuế môn bài 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VAT 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" authorId="1" shapeId="0" xr:uid="{00000000-0006-0000-0800-000005000000}">
      <text>
        <r>
          <rPr>
            <b/>
            <sz val="9"/>
            <color indexed="81"/>
            <rFont val="Tahoma"/>
            <family val="2"/>
          </rPr>
          <t>PIT Freelancer Fiancial Acitivities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1" authorId="1" shapeId="0" xr:uid="{00000000-0006-0000-0800-000006000000}">
      <text>
        <r>
          <rPr>
            <b/>
            <sz val="9"/>
            <color indexed="81"/>
            <rFont val="Segoe UI"/>
            <family val="2"/>
          </rPr>
          <t>Share holder - c Van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Asus</author>
  </authors>
  <commentList>
    <comment ref="N1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Beginning balance Jan 2018
</t>
        </r>
      </text>
    </comment>
    <comment ref="K24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Company trip: 540M</t>
        </r>
        <r>
          <rPr>
            <sz val="9"/>
            <color indexed="81"/>
            <rFont val="Tahoma"/>
            <family val="2"/>
          </rPr>
          <t xml:space="preserve">
Office rental: 321M</t>
        </r>
      </text>
    </comment>
    <comment ref="B25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Thuế môn bài 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" authorId="1" shapeId="0" xr:uid="{00000000-0006-0000-0900-000004000000}">
      <text>
        <r>
          <rPr>
            <b/>
            <sz val="9"/>
            <color indexed="81"/>
            <rFont val="Tahoma"/>
            <family val="2"/>
          </rPr>
          <t>VAT 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" authorId="1" shapeId="0" xr:uid="{00000000-0006-0000-0900-000005000000}">
      <text>
        <r>
          <rPr>
            <b/>
            <sz val="9"/>
            <color indexed="81"/>
            <rFont val="Tahoma"/>
            <family val="2"/>
          </rPr>
          <t>PIT Freelancer Fiancial Acitivities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1" authorId="1" shapeId="0" xr:uid="{00000000-0006-0000-0900-000006000000}">
      <text>
        <r>
          <rPr>
            <b/>
            <sz val="9"/>
            <color indexed="81"/>
            <rFont val="Segoe UI"/>
            <family val="2"/>
          </rPr>
          <t>Share holder - c Van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<sst xmlns="http://schemas.openxmlformats.org/spreadsheetml/2006/main" count="779" uniqueCount="361">
  <si>
    <t>Account</t>
  </si>
  <si>
    <t>Purchase Request</t>
  </si>
  <si>
    <t>3rd party cost</t>
  </si>
  <si>
    <t>Billing</t>
  </si>
  <si>
    <t>Client code</t>
  </si>
  <si>
    <t>Client name</t>
  </si>
  <si>
    <t>Job code</t>
  </si>
  <si>
    <t>Job name</t>
  </si>
  <si>
    <t>Date opened</t>
  </si>
  <si>
    <t>Status</t>
  </si>
  <si>
    <t>Date of complete</t>
  </si>
  <si>
    <t>Reference</t>
  </si>
  <si>
    <t>Estimate</t>
  </si>
  <si>
    <t>Billed</t>
  </si>
  <si>
    <t>Cost</t>
  </si>
  <si>
    <t>Received</t>
  </si>
  <si>
    <t>Paid</t>
  </si>
  <si>
    <t>Balance</t>
  </si>
  <si>
    <t>Các báo cáo cần triển khai</t>
  </si>
  <si>
    <t>STT</t>
  </si>
  <si>
    <t>Tên báo cáo</t>
  </si>
  <si>
    <t>Nguồn dữ liệu</t>
  </si>
  <si>
    <t>Theo dõi tình trạng của job, PCE bao nhiêu, invoiced bao nhiêu, phải thu phải trả, lãi lỗ từng job</t>
  </si>
  <si>
    <t>Mục đích báo cáo</t>
  </si>
  <si>
    <t>Billing, cost of billing</t>
  </si>
  <si>
    <t>Billing, cost of billing, khách hàng, job items</t>
  </si>
  <si>
    <t>Theo dõi lãi lỗ từng công việc trong job</t>
  </si>
  <si>
    <t>Báo cáo tuổi nợ phải thu theo từng job</t>
  </si>
  <si>
    <t>Theo dõi phải thu khách hàng theo từng job để account tiện theo dõi</t>
  </si>
  <si>
    <t>Job no, invoice, date of invoice</t>
  </si>
  <si>
    <t>Báo cáo tuổi nợ phải trả theo từng job</t>
  </si>
  <si>
    <t>Theo dõi phải trả nhà cung cấp theo từng job để account tiện theo dõi</t>
  </si>
  <si>
    <t>Job no, 3rd party's invoice, date of invoice</t>
  </si>
  <si>
    <t>Theo dõi dòng tiền từng thời điểm và cuối năm</t>
  </si>
  <si>
    <t>PCE, PR, receivable, payable, budget</t>
  </si>
  <si>
    <t>Báo cáo ngân sách hàng năm</t>
  </si>
  <si>
    <t>Dự tính doanh thu, chi phí năm tiếp theo</t>
  </si>
  <si>
    <t>Báo cáo dự báo dòng tiền phát sinh trong năm (cập nhật số thực tế đến thời điểm hiện tại)</t>
  </si>
  <si>
    <t>Báo cáo so sánh giữa số thực tế và ngân sách</t>
  </si>
  <si>
    <t>Báo cáo PCE chưa issue invoice</t>
  </si>
  <si>
    <t>Theo dõi tiến độ xuất hóa đơn</t>
  </si>
  <si>
    <t>PR, 3rd party's invoices</t>
  </si>
  <si>
    <t>Báo cáo Circus hiện tại</t>
  </si>
  <si>
    <t>Finance report</t>
  </si>
  <si>
    <t xml:space="preserve">Báo cáo so sánh lãi lỗ năm trước và năm nay </t>
  </si>
  <si>
    <t>So sánh tình hình kinh doanh năm trước và năm nay</t>
  </si>
  <si>
    <t>Dữ liệu năm trước và năm hiện tại</t>
  </si>
  <si>
    <t>Báo cáo lãi lỗ tổng hợp từng job</t>
  </si>
  <si>
    <t>Báo cáo lãi lỗ theo từng job items</t>
  </si>
  <si>
    <t>Analysis report</t>
  </si>
  <si>
    <t>Billing vs estimate: %</t>
  </si>
  <si>
    <t>3rd cost vs billing: %</t>
  </si>
  <si>
    <t>Báo cáo PR chưa nhận được hóa đơn từ supplier</t>
  </si>
  <si>
    <t>Theo dõi tình hình chi phí phải trả</t>
  </si>
  <si>
    <t>Kế toán nhập dữ liệu dựa trên số thực tế năm ngoái, nhập tỉ lệ % tăng giảm</t>
  </si>
  <si>
    <t>Báo cáo các hợp đồng được ký trong năm</t>
  </si>
  <si>
    <t>Theo dõi tình hình ký hợp đồng, giá trị hợp đồng ký với khách hàng</t>
  </si>
  <si>
    <t>Production cost estimate (PCE),Purchase Request (PR), client contract, supplier contract, Invoice, receivable, payable</t>
  </si>
  <si>
    <t>Production cost estimate</t>
  </si>
  <si>
    <t>Viết tắt</t>
  </si>
  <si>
    <t>Tên đầy đủ</t>
  </si>
  <si>
    <t>Nội dung</t>
  </si>
  <si>
    <t>Báo giá khách hàng</t>
  </si>
  <si>
    <t>PR</t>
  </si>
  <si>
    <t>Job</t>
  </si>
  <si>
    <t>Job / Contract</t>
  </si>
  <si>
    <t>Dự án / Hợp đồng</t>
  </si>
  <si>
    <t>Kiểm soát theo dõi từng dự án, vụ việc</t>
  </si>
  <si>
    <t>Yêu cầu mua hàng</t>
  </si>
  <si>
    <t>PO</t>
  </si>
  <si>
    <t>Payment Order</t>
  </si>
  <si>
    <t>Yêu cầu thanh toán</t>
  </si>
  <si>
    <t>Bộ phận quản lý khách hàng</t>
  </si>
  <si>
    <t>Cost of billing</t>
  </si>
  <si>
    <t>Hóa đơn đầu ra</t>
  </si>
  <si>
    <t>Chi phí đầu vào (giá vốn)</t>
  </si>
  <si>
    <t>3rd party's invoice</t>
  </si>
  <si>
    <t>Hóa đơn đầu vào từ nhà cung cấp liên quan tới job</t>
  </si>
  <si>
    <t>Client</t>
  </si>
  <si>
    <t>BRAND</t>
  </si>
  <si>
    <t>Job No</t>
  </si>
  <si>
    <t>Contract Value
(incl VAT)</t>
  </si>
  <si>
    <t>2018 Billed</t>
  </si>
  <si>
    <t>2018 Received</t>
  </si>
  <si>
    <t>Expenses</t>
  </si>
  <si>
    <t>ICOOL</t>
  </si>
  <si>
    <t>COMM PLAN 2018</t>
  </si>
  <si>
    <t>CD2017-0073</t>
  </si>
  <si>
    <t>LANDING PAGE</t>
  </si>
  <si>
    <t xml:space="preserve">CD2018-015 </t>
  </si>
  <si>
    <t xml:space="preserve">COMM PLAN 2018 - EXECUTION </t>
  </si>
  <si>
    <t xml:space="preserve">CD2018-016 </t>
  </si>
  <si>
    <t>PHẠM NGUYÊN</t>
  </si>
  <si>
    <t>Phaner Pie</t>
  </si>
  <si>
    <t>New launch campaign 2017</t>
  </si>
  <si>
    <t>CD2017-0043</t>
  </si>
  <si>
    <t>New launch campaign 2018</t>
  </si>
  <si>
    <t xml:space="preserve">CD2018-008 </t>
  </si>
  <si>
    <t>BEIERSDORF</t>
  </si>
  <si>
    <t>NIVEA</t>
  </si>
  <si>
    <t>Digital Phase 1 - KOLs</t>
  </si>
  <si>
    <t xml:space="preserve">CD2018-013 </t>
  </si>
  <si>
    <t>SKINFOOD</t>
  </si>
  <si>
    <t>IMC  - Planning (period 1)</t>
  </si>
  <si>
    <t>CD2018 - 035'</t>
  </si>
  <si>
    <t>Profit</t>
  </si>
  <si>
    <t>Income</t>
  </si>
  <si>
    <t>Total</t>
  </si>
  <si>
    <t>JOB PROFIT REPORT</t>
  </si>
  <si>
    <t>Account team</t>
  </si>
  <si>
    <t>Job items</t>
  </si>
  <si>
    <t>Chi tiết công việc trong job (planning, creative, TVC production, Facebook advertising….)</t>
  </si>
  <si>
    <t>TVC production</t>
  </si>
  <si>
    <t>Facebook advertising</t>
  </si>
  <si>
    <t>Date of contract</t>
  </si>
  <si>
    <t>Các báo cáo này có thể cùng format, chỉ cần filter điều kiện để ra báo cáo cụ thể</t>
  </si>
  <si>
    <t>Analysis</t>
  </si>
  <si>
    <t>% billed vs estimate</t>
  </si>
  <si>
    <t>% profit vs estimate</t>
  </si>
  <si>
    <t>JOB PROFIT REPORT BY JOB ITEMS</t>
  </si>
  <si>
    <t>JOB SUMMARY REPORT</t>
  </si>
  <si>
    <t>UNBILLED PURCHASE REQUEST</t>
  </si>
  <si>
    <t>Supplier</t>
  </si>
  <si>
    <t>PR no</t>
  </si>
  <si>
    <t>Account created</t>
  </si>
  <si>
    <t>Date of issued PR</t>
  </si>
  <si>
    <t>Invoiced from supplier</t>
  </si>
  <si>
    <t>Amount include VAT</t>
  </si>
  <si>
    <t>UNBILLED PRODUCTION ESTIMATE</t>
  </si>
  <si>
    <t>PCE no</t>
  </si>
  <si>
    <t>Date of issued PCE</t>
  </si>
  <si>
    <t>Trở về</t>
  </si>
  <si>
    <t>Date of issued Invoice</t>
  </si>
  <si>
    <t>Invoice amount</t>
  </si>
  <si>
    <t>Aging</t>
  </si>
  <si>
    <t>Current</t>
  </si>
  <si>
    <t>Over due &lt;30 days</t>
  </si>
  <si>
    <t>Over due 30 -60 days</t>
  </si>
  <si>
    <t>Over due 60 -90 days</t>
  </si>
  <si>
    <t>Over due over 90 days</t>
  </si>
  <si>
    <t>Total over due</t>
  </si>
  <si>
    <t>% over due on invoice amount</t>
  </si>
  <si>
    <t>Client / Supplier</t>
  </si>
  <si>
    <t>Invoice no / 3rd party's invocie</t>
  </si>
  <si>
    <t>Contract signed date:  Sep18</t>
  </si>
  <si>
    <t>Forecast</t>
  </si>
  <si>
    <t>Actual</t>
  </si>
  <si>
    <t>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</si>
  <si>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</si>
  <si>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</si>
  <si>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</si>
  <si>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</si>
  <si>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</si>
  <si>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</si>
  <si>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</si>
  <si>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</si>
  <si>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</si>
  <si>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</si>
  <si>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</si>
  <si>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</si>
  <si>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Cash out </t>
  </si>
  <si>
    <t>Total Cash out (COGS)</t>
  </si>
  <si>
    <t>Balance Cash Flow</t>
  </si>
  <si>
    <t>Job no</t>
  </si>
  <si>
    <t>Brand</t>
  </si>
  <si>
    <t>PCE / PR no</t>
  </si>
  <si>
    <t>Cash in</t>
  </si>
  <si>
    <t>Month balance</t>
  </si>
  <si>
    <t>Interest (bank loan, debt etc.)</t>
  </si>
  <si>
    <t>Cash withdrawal (shareholder equity)</t>
  </si>
  <si>
    <t>CIT</t>
  </si>
  <si>
    <t>PIT</t>
  </si>
  <si>
    <t>Tax</t>
  </si>
  <si>
    <t>Other expense</t>
  </si>
  <si>
    <t>Operation</t>
  </si>
  <si>
    <t>Salary</t>
  </si>
  <si>
    <t>Monthly fixed cost</t>
  </si>
  <si>
    <t>CASH OUT</t>
  </si>
  <si>
    <t>Cash injection (bank loan, debt, etc.)</t>
  </si>
  <si>
    <t>Cash injection (shareholder equity)</t>
  </si>
  <si>
    <t>Beginning of month</t>
  </si>
  <si>
    <t>Total YTD</t>
  </si>
  <si>
    <t>CASH FLOW PROJECTION/DỰ TÍNH DÒNG TIỀN</t>
  </si>
  <si>
    <t>CASH FLOW BY JOB</t>
  </si>
  <si>
    <t>WHT</t>
  </si>
  <si>
    <t>VAT</t>
  </si>
  <si>
    <t>Ending balance</t>
  </si>
  <si>
    <t>Cash Flow from project</t>
  </si>
  <si>
    <t>Cash in from project</t>
  </si>
  <si>
    <t>Cash out from project</t>
  </si>
  <si>
    <t>Total cash flow from project</t>
  </si>
  <si>
    <t>Cash Flow from Operation</t>
  </si>
  <si>
    <t>Total cash flow from Operation</t>
  </si>
  <si>
    <t>Monthly</t>
  </si>
  <si>
    <t>Forecast vs actual</t>
  </si>
  <si>
    <t>Year to date</t>
  </si>
  <si>
    <t>Profit and Loss report</t>
  </si>
  <si>
    <t>Billing from project</t>
  </si>
  <si>
    <t>Cost of billing from project</t>
  </si>
  <si>
    <t>Bank interest</t>
  </si>
  <si>
    <t>Financial income</t>
  </si>
  <si>
    <t>Operation expenses</t>
  </si>
  <si>
    <t>Income from project</t>
  </si>
  <si>
    <t>Total income from project</t>
  </si>
  <si>
    <t>Other income</t>
  </si>
  <si>
    <t>Cash out</t>
  </si>
  <si>
    <t>Total income from Operation</t>
  </si>
  <si>
    <t>Profit/ loss</t>
  </si>
  <si>
    <t>LIST OF CONTRACT</t>
  </si>
  <si>
    <t>FY 2018</t>
  </si>
  <si>
    <t>Contract no</t>
  </si>
  <si>
    <t>Unbilled's PR</t>
  </si>
  <si>
    <t>Số dư: Lấy Bill - Cost</t>
  </si>
  <si>
    <t>Job balance/tổng Bill</t>
  </si>
  <si>
    <t>Timing Margin: %</t>
  </si>
  <si>
    <t>Estimate Margin %</t>
  </si>
  <si>
    <t>Total PR/Estimate</t>
  </si>
  <si>
    <t>Total Bill/Total Estimate</t>
  </si>
  <si>
    <t>Total Cost/Total bill</t>
  </si>
  <si>
    <t>Bộ phận</t>
  </si>
  <si>
    <t>Bộ phận: user được phân quyền khách hàng nào chỉ xem báo cáo của KH đó</t>
  </si>
  <si>
    <t>Từ ngày….đến ngày</t>
  </si>
  <si>
    <t>Giấy báo giá</t>
  </si>
  <si>
    <t>=G-H</t>
  </si>
  <si>
    <t>Cột I = 0 thì k lên</t>
  </si>
  <si>
    <t>Lọc vụ việc</t>
  </si>
  <si>
    <t>Media (nhà cung cấp)</t>
  </si>
  <si>
    <t>Facebook (nhà cung cấp)</t>
  </si>
  <si>
    <t>Nguyễn Bảo Ngọc (nhà cung cấp)</t>
  </si>
  <si>
    <t>Cash out - VAT out (BỎ)</t>
  </si>
  <si>
    <t>VAT remain (BỎ)</t>
  </si>
  <si>
    <t>Số tiền trong tổng trong giấy báo giá</t>
  </si>
  <si>
    <t>Có 2 dòng: dòng 1 dự toán, dòng 2 thực tế (dự toán lấy trong đợt ở tab Thông tin thanh toán, hạn thanh toán; thực tế thì lấy phiếu chi, giấy báo nợ theo vụ việc); ngày lọc thì ăn cho chứng từ giấy báo giá, phiếu chi, giấy báo nợ</t>
  </si>
  <si>
    <t>Cummulative by month (Lũy kế Balance Cash Flow)</t>
  </si>
  <si>
    <t>Báo cáo tuổi nợ</t>
  </si>
  <si>
    <t>Lọc theo vụ việc</t>
  </si>
  <si>
    <t>Other expense (Bỏ)</t>
  </si>
  <si>
    <t>Operation (chi phí đối ứng 331 và không có mã vụ việc)</t>
  </si>
  <si>
    <t>Beginning of month (số đầu kỳ)</t>
  </si>
  <si>
    <t>Cash Flow from project (theo vụ việc)</t>
  </si>
  <si>
    <t>Cash Flow from Operation (Theo tài khoản</t>
  </si>
  <si>
    <t>Năm</t>
  </si>
  <si>
    <t>Thời gian dự toán (từ tháng …đến tháng)</t>
  </si>
  <si>
    <t>Thời gian thực tế (từ tháng…đến tháng)</t>
  </si>
  <si>
    <t>Số liệu trong cập nhật ngân sách</t>
  </si>
  <si>
    <t>Theo kỳ</t>
  </si>
  <si>
    <t>Lũy kế từ đầu năm đến kỳ</t>
  </si>
  <si>
    <t>Ngày</t>
  </si>
  <si>
    <t>Mã NCC</t>
  </si>
  <si>
    <t>Tên NCC</t>
  </si>
  <si>
    <t>MST</t>
  </si>
  <si>
    <t>Số tiền thanh toán</t>
  </si>
  <si>
    <t>Thuế TNCN</t>
  </si>
  <si>
    <t>N331/C112</t>
  </si>
  <si>
    <t>N632/C3335</t>
  </si>
  <si>
    <t>Lọc từ ngày…đến ngày….</t>
  </si>
  <si>
    <t>Số phiếu</t>
  </si>
  <si>
    <t>Remark thanh toán trễ so với forecast, to đỏ với những khoản thanh toán trễ</t>
  </si>
  <si>
    <t>Oishi</t>
  </si>
  <si>
    <t>Sony</t>
  </si>
  <si>
    <t>Forecast (as per cost estimate)</t>
  </si>
  <si>
    <t>Actual YTD</t>
  </si>
  <si>
    <t>Contract value</t>
  </si>
  <si>
    <t>Revenue</t>
  </si>
  <si>
    <t>Tỉ lệ CP/ DT</t>
  </si>
  <si>
    <t>CP theo DT thời điểm</t>
  </si>
  <si>
    <t>Chênh lệch CP thực tế so với tỉ lệ</t>
  </si>
  <si>
    <t>H12-I12</t>
  </si>
  <si>
    <t>lấy 511</t>
  </si>
  <si>
    <t>Lấy 632</t>
  </si>
  <si>
    <t>Mã vụ việc</t>
  </si>
  <si>
    <t>Tên vụ việc</t>
  </si>
  <si>
    <t>Nhóm user quản lý vụ việc</t>
  </si>
  <si>
    <t>Mã khách hàng</t>
  </si>
  <si>
    <t>Mã Brand</t>
  </si>
  <si>
    <t>Account team: user được phân quyền khách hàng nào chỉ xem báo cáo của KH đó</t>
  </si>
  <si>
    <t>Estimate Value</t>
  </si>
  <si>
    <t>CE</t>
  </si>
  <si>
    <t>CE Amount include VAT</t>
  </si>
  <si>
    <t>Tổng tiền CE</t>
  </si>
  <si>
    <t>Tổng tiền đã xuất hd</t>
  </si>
  <si>
    <t>Invoice Amount include VAT</t>
  </si>
  <si>
    <t>Danh mục vụ việc</t>
  </si>
  <si>
    <t>KHA</t>
  </si>
  <si>
    <t>50TR</t>
  </si>
  <si>
    <t>NCC1</t>
  </si>
  <si>
    <t>-10000000</t>
  </si>
  <si>
    <t>NCC2</t>
  </si>
  <si>
    <t>-5000000</t>
  </si>
  <si>
    <t>Job balance actual YTD</t>
  </si>
  <si>
    <t>ACCRUE COST</t>
  </si>
  <si>
    <t>Job Balance estimate</t>
  </si>
  <si>
    <t xml:space="preserve"> Code</t>
  </si>
  <si>
    <t>Tên khách/ncc</t>
  </si>
  <si>
    <t>Lấy số nét của tk 335</t>
  </si>
  <si>
    <t>Tổng cột Balance</t>
  </si>
  <si>
    <t>Job balance actual YTD-ACCRUE COST</t>
  </si>
  <si>
    <t>Đơn hàng mua  chưa có HD</t>
  </si>
  <si>
    <t>Danh mục vụ việc ngày bắt đầu</t>
  </si>
  <si>
    <t>Danh mục vụ việc ngày kết thúc</t>
  </si>
  <si>
    <t>Trạng thái vụ việc</t>
  </si>
  <si>
    <t>Mã kh</t>
  </si>
  <si>
    <t>Tên kh</t>
  </si>
  <si>
    <t>Cập nhật 11.05.2020</t>
  </si>
  <si>
    <t>Note</t>
  </si>
  <si>
    <t>Theo dõi lãi lỗ từng job
Theo dõi lãi lỗ từng job của từng Account team nhằm đánh giá KPI
Theo dõi lãi lỗ từng khách hàng</t>
  </si>
  <si>
    <t>PCE, invoices</t>
  </si>
  <si>
    <t>Theo dõi tiình hình thu chi và thời điểm thu chi của từng job theo số liệu thực tế</t>
  </si>
  <si>
    <t>CF ACTUAL</t>
  </si>
  <si>
    <t>Báo cáo dự báo dòng tiền theo từng job thực tế</t>
  </si>
  <si>
    <t>Báo cáo dự báo dòng tiền theo từng job dự kiến</t>
  </si>
  <si>
    <t>Theo dõi tiình hình thu chi và thời điểm thu chi của từng job theo số liệu dự báo</t>
  </si>
  <si>
    <t>PCE, PE</t>
  </si>
  <si>
    <t>PCE, PR, receivable, payable</t>
  </si>
  <si>
    <t>CF ESTIAMTE</t>
  </si>
  <si>
    <t>ACCOUNT RECEIVABLE AGING</t>
  </si>
  <si>
    <t>ACCOUNT PAYABLE AGING</t>
  </si>
  <si>
    <t>Báo cáo theo dõi thuế TNCN</t>
  </si>
  <si>
    <t>Theo dõi tình hình thu chi thực hiện so với budget</t>
  </si>
  <si>
    <t>CASH FLOW PROJECTION</t>
  </si>
  <si>
    <t>P&amp;L PROJECTION</t>
  </si>
  <si>
    <t>Tháng</t>
  </si>
  <si>
    <t>Đã xuất hóa đơn bao gồm thuế</t>
  </si>
  <si>
    <t>Đã thu tiền bao gồm thuế</t>
  </si>
  <si>
    <t>Trường hợp cuối năm nhận tạm ứng, hóa đơn xuất năm sau thì khi tạm ứng sẽ xuất hóa đơn tạm ứng ?????</t>
  </si>
  <si>
    <t>NOTE</t>
  </si>
  <si>
    <t>Lấy từ CE chưa bao gồm thuế</t>
  </si>
  <si>
    <t>Lấy từ nhu cầu mua PE</t>
  </si>
  <si>
    <t>Group 2</t>
  </si>
  <si>
    <t>tvc1</t>
  </si>
  <si>
    <t>FBO1</t>
  </si>
  <si>
    <t>Lấy giá trị 632 đã nhập hóa đơn mua chưa báo gồm thuế</t>
  </si>
  <si>
    <t>Gía trị đã xuất hóa đơn bán bao gồm thuế</t>
  </si>
  <si>
    <t>Lấy giá trị 511 đã xuất hóa đơn bánchưa báo gồm thuế</t>
  </si>
  <si>
    <t>giá trị trên CE đã bao gồm thuế</t>
  </si>
  <si>
    <t>K-L</t>
  </si>
  <si>
    <t>Description</t>
  </si>
  <si>
    <t>Mã nhóm 2 của danh mục việc</t>
  </si>
  <si>
    <t>Mã nhóm  2 của danh mục job item</t>
  </si>
  <si>
    <t>Tên nhóm 2 của danh mục job item</t>
  </si>
  <si>
    <t>Tên  nhóm Acount</t>
  </si>
  <si>
    <t>K/H</t>
  </si>
  <si>
    <t>M/J</t>
  </si>
  <si>
    <t>I/H</t>
  </si>
  <si>
    <t>K*P</t>
  </si>
  <si>
    <t>Q-L</t>
  </si>
  <si>
    <t>Toltal tổng ( tổng tất tả)</t>
  </si>
  <si>
    <t>Total client ( tổng theo kh)</t>
  </si>
  <si>
    <t xml:space="preserve">Từ ngày…đến ngày: </t>
  </si>
  <si>
    <t>Nã job item</t>
  </si>
  <si>
    <t>Lấy dữ liệu ờ  tab TTCN bên phiếu UNC, PC</t>
  </si>
  <si>
    <t>PE</t>
  </si>
  <si>
    <t>Purchase estimate</t>
  </si>
  <si>
    <t>Phiếu dự kiến mua hàng</t>
  </si>
  <si>
    <t>Hóa đơn mua theo pr</t>
  </si>
  <si>
    <t>Thu tiền bán theo vụ việc</t>
  </si>
  <si>
    <t>Trả tiền mua theo vụ việc</t>
  </si>
  <si>
    <t>Hóa đơn bán theo vụ việc chưa có VAT</t>
  </si>
  <si>
    <t>Báo giá CE theo vụ việc</t>
  </si>
  <si>
    <t>Ngày ce đầu tiên</t>
  </si>
  <si>
    <t>Lấy lấy tổng thanh toán của các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</si>
</sst>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-* #,##0_-;\-* #,##0_-;_-* &quot;-&quot;_-;_-@_-"/>
    <numFmt numFmtId="168" formatCode="[$-409]mmmm\-yy;@"/>
    <numFmt numFmtId="169" formatCode="#,###;[Blue]\(#,###\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0"/>
      <color theme="0"/>
      <name val="Calibri"/>
      <family val="2"/>
    </font>
    <font>
      <b/>
      <sz val="10"/>
      <color rgb="FF008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  <charset val="128"/>
    </font>
    <font>
      <sz val="24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sz val="12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8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rgb="FF00B0F0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30"/>
    </font>
    <font>
      <b/>
      <sz val="20"/>
      <color theme="1"/>
      <name val="Calibri"/>
      <family val="2"/>
      <charset val="163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hair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hair">
        <color rgb="FF008000"/>
      </bottom>
      <diagonal/>
    </border>
    <border>
      <left style="medium">
        <color rgb="FF008000"/>
      </left>
      <right style="thin">
        <color rgb="FF008000"/>
      </right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hair">
        <color rgb="FF008000"/>
      </bottom>
      <diagonal/>
    </border>
    <border>
      <left style="medium">
        <color rgb="FF008000"/>
      </left>
      <right style="thin">
        <color rgb="FF008000"/>
      </right>
      <top style="hair">
        <color rgb="FF008000"/>
      </top>
      <bottom/>
      <diagonal/>
    </border>
    <border>
      <left style="thin">
        <color rgb="FF008000"/>
      </left>
      <right style="thin">
        <color rgb="FF008000"/>
      </right>
      <top style="hair">
        <color rgb="FF008000"/>
      </top>
      <bottom/>
      <diagonal/>
    </border>
    <border>
      <left style="medium">
        <color rgb="FF008000"/>
      </left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hair">
        <color rgb="FF00B05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hair">
        <color indexed="64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medium">
        <color rgb="FF008000"/>
      </top>
      <bottom style="hair">
        <color rgb="FF008000"/>
      </bottom>
      <diagonal/>
    </border>
    <border>
      <left/>
      <right style="medium">
        <color rgb="FF008000"/>
      </right>
      <top style="medium">
        <color rgb="FF008000"/>
      </top>
      <bottom style="hair">
        <color rgb="FF008000"/>
      </bottom>
      <diagonal/>
    </border>
    <border>
      <left style="thin">
        <color rgb="FF008000"/>
      </left>
      <right/>
      <top/>
      <bottom style="hair">
        <color rgb="FF008000"/>
      </bottom>
      <diagonal/>
    </border>
    <border>
      <left/>
      <right/>
      <top/>
      <bottom style="hair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/>
      <diagonal/>
    </border>
    <border>
      <left style="thin">
        <color rgb="FF008000"/>
      </left>
      <right style="thin">
        <color rgb="FF008000"/>
      </right>
      <top/>
      <bottom style="hair">
        <color rgb="FF008000"/>
      </bottom>
      <diagonal/>
    </border>
    <border>
      <left style="thin">
        <color rgb="FF008000"/>
      </left>
      <right/>
      <top style="hair">
        <color rgb="FF008000"/>
      </top>
      <bottom style="hair">
        <color rgb="FF008000"/>
      </bottom>
      <diagonal/>
    </border>
    <border>
      <left/>
      <right/>
      <top style="hair">
        <color rgb="FF008000"/>
      </top>
      <bottom style="hair">
        <color rgb="FF008000"/>
      </bottom>
      <diagonal/>
    </border>
    <border>
      <left/>
      <right style="thin">
        <color rgb="FF008000"/>
      </right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thin">
        <color rgb="FF008000"/>
      </right>
      <top/>
      <bottom/>
      <diagonal/>
    </border>
    <border>
      <left style="thin">
        <color rgb="FF008000"/>
      </left>
      <right/>
      <top/>
      <bottom/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/>
      <diagonal/>
    </border>
    <border>
      <left style="medium">
        <color rgb="FF008000"/>
      </left>
      <right style="medium">
        <color rgb="FF008000"/>
      </right>
      <top style="medium">
        <color rgb="FF008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8000"/>
      </left>
      <right style="medium">
        <color rgb="FF008000"/>
      </right>
      <top style="hair">
        <color rgb="FF008000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165" fontId="0" fillId="0" borderId="0" xfId="1" applyNumberFormat="1" applyFont="1"/>
    <xf numFmtId="165" fontId="2" fillId="0" borderId="0" xfId="1" applyNumberFormat="1" applyFont="1"/>
    <xf numFmtId="165" fontId="0" fillId="0" borderId="1" xfId="1" applyNumberFormat="1" applyFont="1" applyBorder="1"/>
    <xf numFmtId="165" fontId="0" fillId="0" borderId="2" xfId="1" applyNumberFormat="1" applyFont="1" applyBorder="1"/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6" fontId="6" fillId="0" borderId="0" xfId="2" applyNumberFormat="1" applyFont="1" applyAlignment="1">
      <alignment horizontal="right" vertical="center"/>
    </xf>
    <xf numFmtId="166" fontId="6" fillId="0" borderId="0" xfId="2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5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166" fontId="12" fillId="0" borderId="0" xfId="2" applyNumberFormat="1" applyFont="1" applyAlignment="1">
      <alignment horizontal="right" vertical="center"/>
    </xf>
    <xf numFmtId="0" fontId="9" fillId="0" borderId="9" xfId="0" applyFont="1" applyBorder="1" applyAlignment="1">
      <alignment horizontal="center" vertical="center" wrapText="1"/>
    </xf>
    <xf numFmtId="166" fontId="6" fillId="0" borderId="6" xfId="2" applyNumberFormat="1" applyFont="1" applyBorder="1" applyAlignment="1">
      <alignment horizontal="right" vertical="center"/>
    </xf>
    <xf numFmtId="166" fontId="10" fillId="0" borderId="6" xfId="2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66" fontId="6" fillId="0" borderId="8" xfId="2" applyNumberFormat="1" applyFont="1" applyBorder="1" applyAlignment="1">
      <alignment horizontal="right" vertical="center"/>
    </xf>
    <xf numFmtId="166" fontId="10" fillId="0" borderId="8" xfId="2" applyNumberFormat="1" applyFont="1" applyFill="1" applyBorder="1" applyAlignment="1">
      <alignment vertical="center"/>
    </xf>
    <xf numFmtId="166" fontId="6" fillId="0" borderId="8" xfId="2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66" fontId="6" fillId="0" borderId="10" xfId="2" applyNumberFormat="1" applyFont="1" applyBorder="1" applyAlignment="1">
      <alignment horizontal="right" vertical="center"/>
    </xf>
    <xf numFmtId="168" fontId="6" fillId="0" borderId="6" xfId="0" applyNumberFormat="1" applyFont="1" applyFill="1" applyBorder="1" applyAlignment="1">
      <alignment horizontal="center" vertical="center" wrapText="1"/>
    </xf>
    <xf numFmtId="168" fontId="6" fillId="0" borderId="10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6" fillId="0" borderId="11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center" vertical="center" wrapText="1"/>
    </xf>
    <xf numFmtId="168" fontId="6" fillId="0" borderId="11" xfId="0" applyNumberFormat="1" applyFont="1" applyFill="1" applyBorder="1" applyAlignment="1">
      <alignment horizontal="center" vertical="center" wrapText="1"/>
    </xf>
    <xf numFmtId="166" fontId="6" fillId="0" borderId="11" xfId="2" applyNumberFormat="1" applyFont="1" applyBorder="1" applyAlignment="1">
      <alignment horizontal="right" vertical="center"/>
    </xf>
    <xf numFmtId="0" fontId="6" fillId="0" borderId="12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168" fontId="6" fillId="0" borderId="8" xfId="0" applyNumberFormat="1" applyFont="1" applyFill="1" applyBorder="1" applyAlignment="1">
      <alignment horizontal="center" vertical="center" wrapText="1"/>
    </xf>
    <xf numFmtId="166" fontId="6" fillId="0" borderId="12" xfId="2" applyNumberFormat="1" applyFont="1" applyBorder="1" applyAlignment="1">
      <alignment horizontal="right" vertical="center"/>
    </xf>
    <xf numFmtId="166" fontId="5" fillId="2" borderId="0" xfId="2" applyNumberFormat="1" applyFont="1" applyFill="1" applyAlignment="1">
      <alignment horizontal="right" vertical="center"/>
    </xf>
    <xf numFmtId="166" fontId="6" fillId="0" borderId="0" xfId="2" applyNumberFormat="1" applyFont="1" applyBorder="1" applyAlignment="1">
      <alignment horizontal="right" vertical="center"/>
    </xf>
    <xf numFmtId="166" fontId="10" fillId="0" borderId="0" xfId="2" applyNumberFormat="1" applyFont="1" applyFill="1" applyBorder="1" applyAlignment="1">
      <alignment vertical="center"/>
    </xf>
    <xf numFmtId="0" fontId="6" fillId="0" borderId="0" xfId="0" quotePrefix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166" fontId="6" fillId="0" borderId="13" xfId="2" applyNumberFormat="1" applyFont="1" applyBorder="1" applyAlignment="1">
      <alignment horizontal="right" vertical="center"/>
    </xf>
    <xf numFmtId="166" fontId="10" fillId="0" borderId="13" xfId="2" applyNumberFormat="1" applyFont="1" applyFill="1" applyBorder="1" applyAlignment="1">
      <alignment vertical="center"/>
    </xf>
    <xf numFmtId="166" fontId="14" fillId="0" borderId="0" xfId="2" applyNumberFormat="1" applyFont="1" applyAlignment="1">
      <alignment horizontal="right" vertical="center"/>
    </xf>
    <xf numFmtId="0" fontId="9" fillId="0" borderId="13" xfId="0" applyFont="1" applyBorder="1" applyAlignment="1">
      <alignment vertical="center" wrapText="1"/>
    </xf>
    <xf numFmtId="0" fontId="17" fillId="0" borderId="0" xfId="5" applyAlignment="1">
      <alignment wrapText="1"/>
    </xf>
    <xf numFmtId="0" fontId="17" fillId="2" borderId="0" xfId="5" applyFill="1"/>
    <xf numFmtId="0" fontId="17" fillId="2" borderId="0" xfId="5" applyFill="1" applyAlignment="1">
      <alignment vertical="center"/>
    </xf>
    <xf numFmtId="0" fontId="0" fillId="0" borderId="0" xfId="0" applyFill="1"/>
    <xf numFmtId="0" fontId="17" fillId="0" borderId="0" xfId="5" applyFill="1" applyAlignment="1">
      <alignment wrapText="1"/>
    </xf>
    <xf numFmtId="0" fontId="0" fillId="0" borderId="0" xfId="0" applyFill="1" applyAlignment="1">
      <alignment wrapText="1"/>
    </xf>
    <xf numFmtId="0" fontId="17" fillId="0" borderId="0" xfId="5" applyFill="1" applyAlignment="1">
      <alignment vertical="center"/>
    </xf>
    <xf numFmtId="166" fontId="8" fillId="4" borderId="6" xfId="2" applyNumberFormat="1" applyFont="1" applyFill="1" applyBorder="1" applyAlignment="1">
      <alignment vertical="center" wrapText="1"/>
    </xf>
    <xf numFmtId="0" fontId="9" fillId="6" borderId="13" xfId="0" applyFont="1" applyFill="1" applyBorder="1" applyAlignment="1">
      <alignment vertical="center" wrapText="1"/>
    </xf>
    <xf numFmtId="166" fontId="6" fillId="6" borderId="13" xfId="2" applyNumberFormat="1" applyFont="1" applyFill="1" applyBorder="1" applyAlignment="1">
      <alignment horizontal="right" vertical="center"/>
    </xf>
    <xf numFmtId="166" fontId="14" fillId="0" borderId="0" xfId="2" applyNumberFormat="1" applyFont="1" applyAlignment="1">
      <alignment horizontal="center" vertical="center"/>
    </xf>
    <xf numFmtId="166" fontId="18" fillId="2" borderId="0" xfId="6" applyNumberFormat="1" applyFont="1" applyFill="1"/>
    <xf numFmtId="166" fontId="19" fillId="2" borderId="0" xfId="6" applyNumberFormat="1" applyFont="1" applyFill="1"/>
    <xf numFmtId="166" fontId="1" fillId="0" borderId="0" xfId="6" applyNumberFormat="1" applyFont="1"/>
    <xf numFmtId="166" fontId="19" fillId="0" borderId="0" xfId="6" applyNumberFormat="1" applyFont="1"/>
    <xf numFmtId="166" fontId="20" fillId="3" borderId="0" xfId="6" applyNumberFormat="1" applyFont="1" applyFill="1"/>
    <xf numFmtId="166" fontId="20" fillId="3" borderId="0" xfId="6" applyNumberFormat="1" applyFont="1" applyFill="1" applyAlignment="1">
      <alignment horizontal="center"/>
    </xf>
    <xf numFmtId="166" fontId="21" fillId="5" borderId="2" xfId="6" applyNumberFormat="1" applyFont="1" applyFill="1" applyBorder="1"/>
    <xf numFmtId="9" fontId="21" fillId="5" borderId="2" xfId="4" applyFont="1" applyFill="1" applyBorder="1"/>
    <xf numFmtId="166" fontId="19" fillId="0" borderId="0" xfId="6" applyNumberFormat="1" applyFont="1" applyBorder="1"/>
    <xf numFmtId="166" fontId="1" fillId="0" borderId="0" xfId="6" quotePrefix="1" applyNumberFormat="1" applyFont="1" applyBorder="1"/>
    <xf numFmtId="166" fontId="22" fillId="0" borderId="0" xfId="6" applyNumberFormat="1" applyFont="1" applyFill="1" applyBorder="1" applyAlignment="1">
      <alignment horizontal="right"/>
    </xf>
    <xf numFmtId="9" fontId="19" fillId="0" borderId="0" xfId="4" applyFont="1" applyBorder="1"/>
    <xf numFmtId="43" fontId="19" fillId="0" borderId="0" xfId="6" applyNumberFormat="1" applyFont="1"/>
    <xf numFmtId="166" fontId="19" fillId="0" borderId="0" xfId="6" applyNumberFormat="1" applyFont="1" applyFill="1" applyBorder="1"/>
    <xf numFmtId="166" fontId="19" fillId="0" borderId="0" xfId="6" quotePrefix="1" applyNumberFormat="1" applyFont="1" applyBorder="1"/>
    <xf numFmtId="166" fontId="21" fillId="5" borderId="0" xfId="6" applyNumberFormat="1" applyFont="1" applyFill="1" applyAlignment="1">
      <alignment horizontal="left"/>
    </xf>
    <xf numFmtId="166" fontId="21" fillId="5" borderId="0" xfId="6" applyNumberFormat="1" applyFont="1" applyFill="1" applyBorder="1"/>
    <xf numFmtId="9" fontId="21" fillId="5" borderId="0" xfId="4" applyFont="1" applyFill="1"/>
    <xf numFmtId="166" fontId="21" fillId="5" borderId="0" xfId="6" applyNumberFormat="1" applyFont="1" applyFill="1"/>
    <xf numFmtId="166" fontId="18" fillId="0" borderId="0" xfId="6" applyNumberFormat="1" applyFont="1" applyAlignment="1">
      <alignment horizontal="left"/>
    </xf>
    <xf numFmtId="166" fontId="18" fillId="0" borderId="0" xfId="6" applyNumberFormat="1" applyFont="1"/>
    <xf numFmtId="9" fontId="18" fillId="0" borderId="0" xfId="4" applyFont="1"/>
    <xf numFmtId="166" fontId="17" fillId="2" borderId="0" xfId="5" applyNumberFormat="1" applyFill="1"/>
    <xf numFmtId="166" fontId="24" fillId="5" borderId="0" xfId="6" applyNumberFormat="1" applyFont="1" applyFill="1"/>
    <xf numFmtId="166" fontId="21" fillId="7" borderId="0" xfId="6" applyNumberFormat="1" applyFont="1" applyFill="1"/>
    <xf numFmtId="166" fontId="19" fillId="7" borderId="0" xfId="6" applyNumberFormat="1" applyFont="1" applyFill="1"/>
    <xf numFmtId="166" fontId="21" fillId="5" borderId="0" xfId="6" quotePrefix="1" applyNumberFormat="1" applyFont="1" applyFill="1"/>
    <xf numFmtId="166" fontId="21" fillId="7" borderId="1" xfId="6" applyNumberFormat="1" applyFont="1" applyFill="1" applyBorder="1"/>
    <xf numFmtId="166" fontId="21" fillId="5" borderId="1" xfId="6" applyNumberFormat="1" applyFont="1" applyFill="1" applyBorder="1"/>
    <xf numFmtId="166" fontId="19" fillId="0" borderId="0" xfId="6" applyNumberFormat="1" applyFont="1" applyFill="1"/>
    <xf numFmtId="166" fontId="25" fillId="0" borderId="0" xfId="6" applyNumberFormat="1" applyFont="1" applyFill="1"/>
    <xf numFmtId="166" fontId="25" fillId="0" borderId="0" xfId="6" applyNumberFormat="1" applyFont="1"/>
    <xf numFmtId="166" fontId="26" fillId="0" borderId="0" xfId="6" applyNumberFormat="1" applyFont="1" applyAlignment="1">
      <alignment horizontal="right"/>
    </xf>
    <xf numFmtId="166" fontId="23" fillId="0" borderId="0" xfId="6" applyNumberFormat="1" applyFont="1"/>
    <xf numFmtId="166" fontId="27" fillId="0" borderId="0" xfId="6" applyNumberFormat="1" applyFont="1"/>
    <xf numFmtId="166" fontId="28" fillId="0" borderId="0" xfId="6" applyNumberFormat="1" applyFont="1" applyAlignment="1">
      <alignment horizontal="right"/>
    </xf>
    <xf numFmtId="166" fontId="29" fillId="7" borderId="0" xfId="6" applyNumberFormat="1" applyFont="1" applyFill="1"/>
    <xf numFmtId="166" fontId="29" fillId="0" borderId="0" xfId="6" applyNumberFormat="1" applyFont="1"/>
    <xf numFmtId="166" fontId="30" fillId="0" borderId="0" xfId="6" applyNumberFormat="1" applyFont="1"/>
    <xf numFmtId="166" fontId="18" fillId="7" borderId="0" xfId="6" applyNumberFormat="1" applyFont="1" applyFill="1"/>
    <xf numFmtId="166" fontId="22" fillId="0" borderId="0" xfId="6" applyNumberFormat="1" applyFont="1"/>
    <xf numFmtId="166" fontId="20" fillId="7" borderId="0" xfId="6" applyNumberFormat="1" applyFont="1" applyFill="1" applyAlignment="1">
      <alignment horizontal="center"/>
    </xf>
    <xf numFmtId="166" fontId="33" fillId="0" borderId="0" xfId="6" applyNumberFormat="1" applyFont="1"/>
    <xf numFmtId="166" fontId="17" fillId="0" borderId="0" xfId="5" applyNumberFormat="1"/>
    <xf numFmtId="166" fontId="19" fillId="0" borderId="0" xfId="6" applyNumberFormat="1" applyFont="1" applyAlignment="1">
      <alignment horizontal="left" indent="1"/>
    </xf>
    <xf numFmtId="166" fontId="21" fillId="0" borderId="0" xfId="6" applyNumberFormat="1" applyFont="1" applyFill="1" applyAlignment="1">
      <alignment horizontal="left"/>
    </xf>
    <xf numFmtId="166" fontId="21" fillId="0" borderId="0" xfId="6" applyNumberFormat="1" applyFont="1" applyFill="1" applyBorder="1"/>
    <xf numFmtId="166" fontId="21" fillId="0" borderId="0" xfId="6" applyNumberFormat="1" applyFont="1" applyFill="1"/>
    <xf numFmtId="166" fontId="18" fillId="0" borderId="0" xfId="6" applyNumberFormat="1" applyFont="1" applyFill="1" applyAlignment="1">
      <alignment horizontal="center"/>
    </xf>
    <xf numFmtId="166" fontId="20" fillId="0" borderId="0" xfId="6" applyNumberFormat="1" applyFont="1" applyFill="1" applyAlignment="1">
      <alignment horizontal="center"/>
    </xf>
    <xf numFmtId="166" fontId="22" fillId="0" borderId="0" xfId="6" applyNumberFormat="1" applyFont="1" applyFill="1"/>
    <xf numFmtId="166" fontId="21" fillId="0" borderId="1" xfId="6" applyNumberFormat="1" applyFont="1" applyFill="1" applyBorder="1"/>
    <xf numFmtId="166" fontId="18" fillId="0" borderId="0" xfId="6" applyNumberFormat="1" applyFont="1" applyFill="1"/>
    <xf numFmtId="166" fontId="29" fillId="0" borderId="0" xfId="6" applyNumberFormat="1" applyFont="1" applyFill="1"/>
    <xf numFmtId="166" fontId="30" fillId="0" borderId="0" xfId="6" applyNumberFormat="1" applyFont="1" applyFill="1"/>
    <xf numFmtId="166" fontId="27" fillId="0" borderId="0" xfId="6" applyNumberFormat="1" applyFont="1" applyFill="1"/>
    <xf numFmtId="166" fontId="34" fillId="0" borderId="0" xfId="2" applyNumberFormat="1" applyFont="1" applyAlignment="1">
      <alignment horizontal="right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6" fontId="12" fillId="0" borderId="0" xfId="2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6" fontId="12" fillId="0" borderId="0" xfId="2" quotePrefix="1" applyNumberFormat="1" applyFont="1" applyAlignment="1">
      <alignment horizontal="right" vertical="center"/>
    </xf>
    <xf numFmtId="166" fontId="35" fillId="0" borderId="0" xfId="6" applyNumberFormat="1" applyFont="1"/>
    <xf numFmtId="166" fontId="4" fillId="0" borderId="0" xfId="6" quotePrefix="1" applyNumberFormat="1" applyFont="1" applyBorder="1"/>
    <xf numFmtId="166" fontId="18" fillId="0" borderId="0" xfId="6" applyNumberFormat="1" applyFont="1" applyBorder="1"/>
    <xf numFmtId="166" fontId="29" fillId="0" borderId="0" xfId="6" applyNumberFormat="1" applyFont="1" applyFill="1" applyBorder="1" applyAlignment="1">
      <alignment horizontal="right"/>
    </xf>
    <xf numFmtId="9" fontId="18" fillId="0" borderId="0" xfId="4" applyFont="1" applyBorder="1"/>
    <xf numFmtId="43" fontId="18" fillId="0" borderId="0" xfId="6" applyNumberFormat="1" applyFont="1"/>
    <xf numFmtId="166" fontId="0" fillId="0" borderId="0" xfId="6" quotePrefix="1" applyNumberFormat="1" applyFont="1" applyBorder="1"/>
    <xf numFmtId="166" fontId="3" fillId="0" borderId="0" xfId="6" quotePrefix="1" applyNumberFormat="1" applyFont="1" applyBorder="1"/>
    <xf numFmtId="166" fontId="35" fillId="0" borderId="0" xfId="6" applyNumberFormat="1" applyFont="1" applyFill="1" applyBorder="1"/>
    <xf numFmtId="166" fontId="35" fillId="0" borderId="0" xfId="6" applyNumberFormat="1" applyFont="1" applyFill="1" applyBorder="1" applyAlignment="1">
      <alignment horizontal="right"/>
    </xf>
    <xf numFmtId="9" fontId="35" fillId="0" borderId="0" xfId="4" applyFont="1" applyBorder="1"/>
    <xf numFmtId="169" fontId="35" fillId="0" borderId="0" xfId="6" applyNumberFormat="1" applyFont="1" applyBorder="1"/>
    <xf numFmtId="169" fontId="35" fillId="0" borderId="0" xfId="4" applyNumberFormat="1" applyFont="1" applyBorder="1"/>
    <xf numFmtId="169" fontId="35" fillId="0" borderId="2" xfId="6" applyNumberFormat="1" applyFont="1" applyBorder="1"/>
    <xf numFmtId="166" fontId="36" fillId="0" borderId="0" xfId="6" applyNumberFormat="1" applyFont="1" applyAlignment="1">
      <alignment horizontal="right"/>
    </xf>
    <xf numFmtId="166" fontId="37" fillId="0" borderId="0" xfId="6" applyNumberFormat="1" applyFont="1"/>
    <xf numFmtId="166" fontId="35" fillId="7" borderId="0" xfId="6" applyNumberFormat="1" applyFont="1" applyFill="1"/>
    <xf numFmtId="0" fontId="3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6" fillId="0" borderId="0" xfId="1" applyNumberFormat="1" applyFont="1" applyAlignment="1">
      <alignment vertical="center"/>
    </xf>
    <xf numFmtId="165" fontId="12" fillId="0" borderId="0" xfId="1" applyNumberFormat="1" applyFont="1" applyAlignment="1">
      <alignment horizontal="center" vertical="center"/>
    </xf>
    <xf numFmtId="165" fontId="11" fillId="0" borderId="0" xfId="1" applyNumberFormat="1" applyFont="1" applyFill="1" applyBorder="1" applyAlignment="1">
      <alignment horizontal="left" vertical="center"/>
    </xf>
    <xf numFmtId="165" fontId="6" fillId="0" borderId="0" xfId="1" applyNumberFormat="1" applyFont="1" applyFill="1" applyBorder="1" applyAlignment="1">
      <alignment vertical="center"/>
    </xf>
    <xf numFmtId="165" fontId="6" fillId="2" borderId="0" xfId="1" applyNumberFormat="1" applyFont="1" applyFill="1" applyAlignment="1">
      <alignment horizontal="center" vertical="center"/>
    </xf>
    <xf numFmtId="165" fontId="3" fillId="0" borderId="0" xfId="1" applyNumberFormat="1" applyFont="1"/>
    <xf numFmtId="165" fontId="0" fillId="0" borderId="0" xfId="1" applyNumberFormat="1" applyFont="1" applyAlignment="1">
      <alignment horizontal="left"/>
    </xf>
    <xf numFmtId="164" fontId="0" fillId="0" borderId="0" xfId="1" quotePrefix="1" applyFont="1" applyAlignment="1">
      <alignment horizontal="left"/>
    </xf>
    <xf numFmtId="165" fontId="2" fillId="0" borderId="0" xfId="0" applyNumberFormat="1" applyFont="1" applyAlignment="1">
      <alignment horizontal="left"/>
    </xf>
    <xf numFmtId="165" fontId="4" fillId="0" borderId="0" xfId="1" applyNumberFormat="1" applyFont="1"/>
    <xf numFmtId="165" fontId="0" fillId="0" borderId="0" xfId="1" applyNumberFormat="1" applyFont="1" applyAlignment="1">
      <alignment horizontal="left" vertical="top"/>
    </xf>
    <xf numFmtId="0" fontId="8" fillId="3" borderId="3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40" fillId="0" borderId="0" xfId="0" applyFont="1"/>
    <xf numFmtId="0" fontId="2" fillId="0" borderId="0" xfId="0" applyFont="1" applyAlignment="1">
      <alignment horizontal="left"/>
    </xf>
    <xf numFmtId="166" fontId="41" fillId="2" borderId="0" xfId="6" applyNumberFormat="1" applyFont="1" applyFill="1"/>
    <xf numFmtId="166" fontId="39" fillId="0" borderId="0" xfId="2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6" fontId="12" fillId="0" borderId="0" xfId="2" applyNumberFormat="1" applyFont="1" applyAlignment="1">
      <alignment horizontal="right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166" fontId="8" fillId="3" borderId="18" xfId="2" applyNumberFormat="1" applyFont="1" applyFill="1" applyBorder="1" applyAlignment="1">
      <alignment horizontal="center" vertical="center" wrapText="1"/>
    </xf>
    <xf numFmtId="166" fontId="8" fillId="3" borderId="18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166" fontId="12" fillId="0" borderId="0" xfId="2" applyNumberFormat="1" applyFont="1" applyAlignment="1">
      <alignment horizontal="center" vertical="center" wrapText="1"/>
    </xf>
    <xf numFmtId="49" fontId="12" fillId="0" borderId="0" xfId="2" applyNumberFormat="1" applyFont="1" applyAlignment="1">
      <alignment horizontal="center" vertical="center" wrapText="1"/>
    </xf>
    <xf numFmtId="165" fontId="12" fillId="0" borderId="0" xfId="1" applyNumberFormat="1" applyFont="1" applyAlignment="1">
      <alignment horizontal="center" vertical="center" wrapText="1"/>
    </xf>
    <xf numFmtId="0" fontId="6" fillId="0" borderId="27" xfId="0" quotePrefix="1" applyFont="1" applyFill="1" applyBorder="1" applyAlignment="1">
      <alignment horizontal="left" vertical="center"/>
    </xf>
    <xf numFmtId="9" fontId="6" fillId="0" borderId="27" xfId="4" quotePrefix="1" applyFont="1" applyFill="1" applyBorder="1" applyAlignment="1">
      <alignment horizontal="left" vertical="center"/>
    </xf>
    <xf numFmtId="165" fontId="6" fillId="0" borderId="27" xfId="1" quotePrefix="1" applyNumberFormat="1" applyFont="1" applyFill="1" applyBorder="1" applyAlignment="1">
      <alignment horizontal="left" vertical="center"/>
    </xf>
    <xf numFmtId="165" fontId="11" fillId="0" borderId="27" xfId="1" applyNumberFormat="1" applyFont="1" applyFill="1" applyBorder="1" applyAlignment="1">
      <alignment horizontal="left" vertical="center"/>
    </xf>
    <xf numFmtId="165" fontId="6" fillId="0" borderId="27" xfId="1" applyNumberFormat="1" applyFont="1" applyFill="1" applyBorder="1" applyAlignment="1">
      <alignment vertical="center"/>
    </xf>
    <xf numFmtId="166" fontId="8" fillId="8" borderId="8" xfId="2" applyNumberFormat="1" applyFont="1" applyFill="1" applyBorder="1" applyAlignment="1">
      <alignment horizontal="center" vertical="center" wrapText="1"/>
    </xf>
    <xf numFmtId="166" fontId="8" fillId="7" borderId="8" xfId="2" applyNumberFormat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vertical="center"/>
    </xf>
    <xf numFmtId="0" fontId="8" fillId="3" borderId="28" xfId="0" applyFont="1" applyFill="1" applyBorder="1" applyAlignment="1">
      <alignment vertical="center"/>
    </xf>
    <xf numFmtId="0" fontId="6" fillId="0" borderId="27" xfId="0" applyFont="1" applyFill="1" applyBorder="1" applyAlignment="1">
      <alignment vertical="center"/>
    </xf>
    <xf numFmtId="0" fontId="9" fillId="0" borderId="27" xfId="0" applyFont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left" vertical="center" wrapText="1"/>
    </xf>
    <xf numFmtId="0" fontId="6" fillId="0" borderId="27" xfId="0" applyFont="1" applyFill="1" applyBorder="1" applyAlignment="1">
      <alignment horizontal="center" vertical="center"/>
    </xf>
    <xf numFmtId="166" fontId="6" fillId="0" borderId="27" xfId="2" applyNumberFormat="1" applyFont="1" applyBorder="1" applyAlignment="1">
      <alignment horizontal="right" vertical="center"/>
    </xf>
    <xf numFmtId="166" fontId="10" fillId="0" borderId="27" xfId="2" applyNumberFormat="1" applyFont="1" applyFill="1" applyBorder="1" applyAlignment="1">
      <alignment vertical="center"/>
    </xf>
    <xf numFmtId="166" fontId="11" fillId="0" borderId="27" xfId="2" applyNumberFormat="1" applyFont="1" applyBorder="1" applyAlignment="1">
      <alignment horizontal="right" vertical="center"/>
    </xf>
    <xf numFmtId="165" fontId="42" fillId="0" borderId="0" xfId="1" applyNumberFormat="1" applyFont="1"/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166" fontId="8" fillId="7" borderId="20" xfId="2" applyNumberFormat="1" applyFont="1" applyFill="1" applyBorder="1" applyAlignment="1">
      <alignment horizontal="center" vertical="center" wrapText="1"/>
    </xf>
    <xf numFmtId="166" fontId="8" fillId="7" borderId="21" xfId="2" applyNumberFormat="1" applyFont="1" applyFill="1" applyBorder="1" applyAlignment="1">
      <alignment horizontal="center" vertical="center" wrapText="1"/>
    </xf>
    <xf numFmtId="166" fontId="8" fillId="7" borderId="22" xfId="2" applyNumberFormat="1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166" fontId="8" fillId="8" borderId="20" xfId="2" applyNumberFormat="1" applyFont="1" applyFill="1" applyBorder="1" applyAlignment="1">
      <alignment horizontal="center" vertical="center" wrapText="1"/>
    </xf>
    <xf numFmtId="166" fontId="8" fillId="8" borderId="21" xfId="2" applyNumberFormat="1" applyFont="1" applyFill="1" applyBorder="1" applyAlignment="1">
      <alignment horizontal="center" vertical="center" wrapText="1"/>
    </xf>
    <xf numFmtId="166" fontId="8" fillId="8" borderId="22" xfId="2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66" fontId="8" fillId="3" borderId="4" xfId="2" applyNumberFormat="1" applyFont="1" applyFill="1" applyBorder="1" applyAlignment="1">
      <alignment horizontal="center" vertical="center" wrapText="1"/>
    </xf>
    <xf numFmtId="166" fontId="8" fillId="3" borderId="6" xfId="2" applyNumberFormat="1" applyFont="1" applyFill="1" applyBorder="1" applyAlignment="1">
      <alignment horizontal="center" vertical="center"/>
    </xf>
    <xf numFmtId="166" fontId="8" fillId="3" borderId="6" xfId="2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166" fontId="8" fillId="4" borderId="16" xfId="2" applyNumberFormat="1" applyFont="1" applyFill="1" applyBorder="1" applyAlignment="1">
      <alignment horizontal="center" vertical="center" wrapText="1"/>
    </xf>
    <xf numFmtId="166" fontId="8" fillId="4" borderId="17" xfId="2" applyNumberFormat="1" applyFont="1" applyFill="1" applyBorder="1" applyAlignment="1">
      <alignment horizontal="center" vertical="center" wrapText="1"/>
    </xf>
    <xf numFmtId="166" fontId="19" fillId="7" borderId="0" xfId="6" applyNumberFormat="1" applyFont="1" applyFill="1" applyAlignment="1">
      <alignment horizontal="center"/>
    </xf>
    <xf numFmtId="166" fontId="18" fillId="2" borderId="0" xfId="6" applyNumberFormat="1" applyFont="1" applyFill="1" applyAlignment="1">
      <alignment horizontal="center"/>
    </xf>
    <xf numFmtId="0" fontId="6" fillId="0" borderId="24" xfId="0" applyFont="1" applyBorder="1" applyAlignment="1">
      <alignment horizontal="center" vertical="center"/>
    </xf>
    <xf numFmtId="166" fontId="8" fillId="3" borderId="4" xfId="2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</cellXfs>
  <cellStyles count="7">
    <cellStyle name="Comma" xfId="1" builtinId="3"/>
    <cellStyle name="Comma [0] 2" xfId="3" xr:uid="{00000000-0005-0000-0000-000001000000}"/>
    <cellStyle name="Comma 2" xfId="2" xr:uid="{00000000-0005-0000-0000-000002000000}"/>
    <cellStyle name="Comma 3" xfId="6" xr:uid="{00000000-0005-0000-0000-000003000000}"/>
    <cellStyle name="Hyperlink" xfId="5" builtinId="8"/>
    <cellStyle name="Normal" xfId="0" builtinId="0"/>
    <cellStyle name="Percent" xfId="4" builtinId="5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33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741028</xdr:colOff>
      <xdr:row>3</xdr:row>
      <xdr:rowOff>137161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35281C-34A1-429F-915B-DE68184C2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609708" cy="830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118168</xdr:colOff>
      <xdr:row>5</xdr:row>
      <xdr:rowOff>118168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2727" cy="1182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118168</xdr:colOff>
      <xdr:row>2</xdr:row>
      <xdr:rowOff>367553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1862" cy="7261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118168</xdr:colOff>
      <xdr:row>4</xdr:row>
      <xdr:rowOff>106962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4968" cy="11995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118168</xdr:colOff>
      <xdr:row>4</xdr:row>
      <xdr:rowOff>106962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4968" cy="11995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1182727</xdr:colOff>
      <xdr:row>5</xdr:row>
      <xdr:rowOff>182602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2727" cy="11827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1182727</xdr:colOff>
      <xdr:row>5</xdr:row>
      <xdr:rowOff>182602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CAF88-CFAB-48E1-BDC0-36F75775F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2727" cy="11732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118168</xdr:colOff>
      <xdr:row>5</xdr:row>
      <xdr:rowOff>118168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D893F8-26D7-492A-9ABF-3356FDD0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5448" cy="12230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118168</xdr:colOff>
      <xdr:row>5</xdr:row>
      <xdr:rowOff>118168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4968" cy="119449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1182727</xdr:colOff>
      <xdr:row>5</xdr:row>
      <xdr:rowOff>45019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2727" cy="117849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1182727</xdr:colOff>
      <xdr:row>5</xdr:row>
      <xdr:rowOff>45019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2727" cy="11784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1182727</xdr:colOff>
      <xdr:row>5</xdr:row>
      <xdr:rowOff>182602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2727" cy="117849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1182727</xdr:colOff>
      <xdr:row>5</xdr:row>
      <xdr:rowOff>182602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2727" cy="118272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118168</xdr:colOff>
      <xdr:row>5</xdr:row>
      <xdr:rowOff>55415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4968" cy="11944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ga's%20data/Finance/T10.2018/Finance%20Report%20-%2010.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Finance%20Monthly%20-%20T08.201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ga's%20data/Finance/T10.2018/Finance%20Monthly%20-%20T10.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4"/>
      <sheetName val="2015"/>
      <sheetName val="2016"/>
      <sheetName val="Project advance payment"/>
      <sheetName val="2018"/>
      <sheetName val="Phuong"/>
      <sheetName val="Linh. Thao"/>
      <sheetName val="Luân"/>
      <sheetName val="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7">
          <cell r="D27" t="str">
            <v>2018 - Expe</v>
          </cell>
          <cell r="E27" t="str">
            <v>Mar 2018 - Mar 2019</v>
          </cell>
          <cell r="F27">
            <v>1327195873.0799999</v>
          </cell>
          <cell r="G27">
            <v>1327195873.0799999</v>
          </cell>
          <cell r="H27">
            <v>773389310</v>
          </cell>
          <cell r="J27">
            <v>773389310</v>
          </cell>
          <cell r="K27">
            <v>176443572</v>
          </cell>
          <cell r="L27" t="str">
            <v>- Done</v>
          </cell>
        </row>
        <row r="28">
          <cell r="D28" t="str">
            <v>DDT2018-003</v>
          </cell>
          <cell r="E28" t="str">
            <v>Mar - Jan</v>
          </cell>
          <cell r="F28">
            <v>1709991000</v>
          </cell>
          <cell r="G28">
            <v>1709991000</v>
          </cell>
          <cell r="H28">
            <v>476087100</v>
          </cell>
          <cell r="I28">
            <v>476087100</v>
          </cell>
          <cell r="J28">
            <v>476087100</v>
          </cell>
          <cell r="K28">
            <v>117658888.8888889</v>
          </cell>
          <cell r="L28" t="str">
            <v>- Done</v>
          </cell>
          <cell r="M28">
            <v>0</v>
          </cell>
        </row>
        <row r="29">
          <cell r="D29" t="str">
            <v>DDT2018-005</v>
          </cell>
          <cell r="E29" t="str">
            <v>Dec-Feb</v>
          </cell>
          <cell r="F29">
            <v>3365659000</v>
          </cell>
          <cell r="G29">
            <v>3365659000</v>
          </cell>
          <cell r="H29">
            <v>3271396588</v>
          </cell>
          <cell r="I29">
            <v>1979265000</v>
          </cell>
          <cell r="J29">
            <v>3065930100</v>
          </cell>
          <cell r="K29">
            <v>1310817645.2555599</v>
          </cell>
          <cell r="L29" t="str">
            <v>- Done</v>
          </cell>
        </row>
        <row r="30">
          <cell r="D30" t="str">
            <v>DDT2018-004</v>
          </cell>
          <cell r="E30" t="str">
            <v>Nov - Dec</v>
          </cell>
          <cell r="F30">
            <v>299000000</v>
          </cell>
          <cell r="G30">
            <v>299000000</v>
          </cell>
          <cell r="H30">
            <v>295100000</v>
          </cell>
          <cell r="I30">
            <v>0</v>
          </cell>
          <cell r="J30">
            <v>295100000</v>
          </cell>
          <cell r="K30">
            <v>91577777.666666672</v>
          </cell>
          <cell r="L30" t="str">
            <v>- Done</v>
          </cell>
          <cell r="M30">
            <v>0</v>
          </cell>
        </row>
        <row r="31">
          <cell r="D31" t="str">
            <v>DDT2018-006</v>
          </cell>
          <cell r="E31" t="str">
            <v>Feb - Mar</v>
          </cell>
          <cell r="F31">
            <v>2265732400</v>
          </cell>
          <cell r="G31">
            <v>2265732400</v>
          </cell>
          <cell r="H31">
            <v>2265732400</v>
          </cell>
          <cell r="I31">
            <v>2138333000</v>
          </cell>
          <cell r="J31">
            <v>1821652300</v>
          </cell>
          <cell r="K31">
            <v>1222769532.7777777</v>
          </cell>
          <cell r="L31" t="str">
            <v>- Await last payment (on 25-Nov)</v>
          </cell>
          <cell r="M31">
            <v>0</v>
          </cell>
        </row>
        <row r="32">
          <cell r="D32" t="str">
            <v>DDT2018-007</v>
          </cell>
          <cell r="E32" t="str">
            <v>Feb - Mar</v>
          </cell>
          <cell r="F32">
            <v>189704000</v>
          </cell>
          <cell r="G32">
            <v>189704000</v>
          </cell>
          <cell r="H32">
            <v>187229600</v>
          </cell>
          <cell r="I32">
            <v>189704000</v>
          </cell>
          <cell r="J32">
            <v>187229600</v>
          </cell>
          <cell r="K32">
            <v>235833333.1111111</v>
          </cell>
          <cell r="L32" t="str">
            <v>- Done</v>
          </cell>
          <cell r="M32" t="str">
            <v>- Done</v>
          </cell>
        </row>
        <row r="33">
          <cell r="D33" t="str">
            <v xml:space="preserve">CD2018-021 </v>
          </cell>
          <cell r="E33" t="str">
            <v>Jan - Feb</v>
          </cell>
          <cell r="F33">
            <v>418134000</v>
          </cell>
          <cell r="G33">
            <v>418134000</v>
          </cell>
          <cell r="H33">
            <v>466026000</v>
          </cell>
          <cell r="I33">
            <v>466026000</v>
          </cell>
          <cell r="J33">
            <v>466026000</v>
          </cell>
          <cell r="K33">
            <v>82699334</v>
          </cell>
          <cell r="L33" t="str">
            <v>- Done</v>
          </cell>
          <cell r="M33" t="str">
            <v>- Done</v>
          </cell>
        </row>
        <row r="34">
          <cell r="D34" t="str">
            <v>DDT2018-008</v>
          </cell>
          <cell r="E34" t="str">
            <v>Apr - Jul</v>
          </cell>
          <cell r="F34">
            <v>2980754000</v>
          </cell>
          <cell r="G34">
            <v>2980754000</v>
          </cell>
          <cell r="H34">
            <v>2912505000</v>
          </cell>
          <cell r="I34">
            <v>3079516000</v>
          </cell>
          <cell r="J34">
            <v>1816601000</v>
          </cell>
          <cell r="K34">
            <v>1378061333.4444444</v>
          </cell>
          <cell r="L34" t="str">
            <v>- 3rd &amp; 4th (last) invoice released on Oct-23 &amp; Oct-30</v>
          </cell>
          <cell r="M34" t="str">
            <v>- Await payment on Dec-23 &amp; Dec-30</v>
          </cell>
        </row>
        <row r="35">
          <cell r="D35" t="str">
            <v>DDT2018-009</v>
          </cell>
          <cell r="E35" t="str">
            <v>Apr - May</v>
          </cell>
          <cell r="F35">
            <v>601910000</v>
          </cell>
          <cell r="G35">
            <v>601910000</v>
          </cell>
          <cell r="H35">
            <v>601910000</v>
          </cell>
          <cell r="I35">
            <v>601910000</v>
          </cell>
          <cell r="J35">
            <v>601910000</v>
          </cell>
          <cell r="K35">
            <v>0</v>
          </cell>
          <cell r="L35" t="str">
            <v>- Done</v>
          </cell>
          <cell r="M35" t="str">
            <v>- Done</v>
          </cell>
        </row>
        <row r="36">
          <cell r="D36" t="str">
            <v>DDT2018-010</v>
          </cell>
          <cell r="E36" t="str">
            <v>Jun - Jul</v>
          </cell>
          <cell r="F36">
            <v>410435000</v>
          </cell>
          <cell r="G36">
            <v>410435000</v>
          </cell>
          <cell r="H36">
            <v>410435000</v>
          </cell>
          <cell r="I36">
            <v>410435000</v>
          </cell>
          <cell r="J36">
            <v>410435000</v>
          </cell>
          <cell r="K36">
            <v>236900000</v>
          </cell>
          <cell r="L36" t="str">
            <v>- Done</v>
          </cell>
          <cell r="M36" t="str">
            <v>- Done</v>
          </cell>
        </row>
        <row r="37">
          <cell r="D37" t="str">
            <v>DDT2018-011</v>
          </cell>
          <cell r="E37" t="str">
            <v>Jun - Jul</v>
          </cell>
          <cell r="F37">
            <v>24725000</v>
          </cell>
          <cell r="G37">
            <v>24725000</v>
          </cell>
          <cell r="H37">
            <v>24725000</v>
          </cell>
          <cell r="I37">
            <v>24725000</v>
          </cell>
          <cell r="J37">
            <v>24725000</v>
          </cell>
          <cell r="K37">
            <v>0</v>
          </cell>
          <cell r="L37" t="str">
            <v>- Done</v>
          </cell>
          <cell r="M37" t="str">
            <v>- Done</v>
          </cell>
        </row>
        <row r="38">
          <cell r="D38" t="str">
            <v>DDT - Nutriboos Sa</v>
          </cell>
          <cell r="E38" t="str">
            <v>Jun - Jul</v>
          </cell>
          <cell r="F38">
            <v>253000000</v>
          </cell>
          <cell r="G38">
            <v>253000000</v>
          </cell>
          <cell r="H38">
            <v>253000000</v>
          </cell>
          <cell r="I38">
            <v>253000000</v>
          </cell>
          <cell r="J38">
            <v>253000000</v>
          </cell>
          <cell r="K38">
            <v>0</v>
          </cell>
          <cell r="L38" t="str">
            <v>- Done</v>
          </cell>
          <cell r="M38" t="str">
            <v>- Done</v>
          </cell>
        </row>
        <row r="39">
          <cell r="D39" t="str">
            <v>DDT2018-013</v>
          </cell>
          <cell r="E39" t="str">
            <v>Jun</v>
          </cell>
          <cell r="F39">
            <v>575000000</v>
          </cell>
          <cell r="G39">
            <v>575000000</v>
          </cell>
          <cell r="H39">
            <v>575000000</v>
          </cell>
          <cell r="I39">
            <v>575000000</v>
          </cell>
          <cell r="J39">
            <v>575000000</v>
          </cell>
          <cell r="K39">
            <v>0</v>
          </cell>
          <cell r="L39" t="str">
            <v>- Done</v>
          </cell>
          <cell r="M39" t="str">
            <v>- Done</v>
          </cell>
        </row>
        <row r="40">
          <cell r="D40" t="str">
            <v>DDT2018-014</v>
          </cell>
          <cell r="E40" t="str">
            <v>Jul-Aug</v>
          </cell>
          <cell r="F40">
            <v>3719238000</v>
          </cell>
          <cell r="G40">
            <v>3719238000</v>
          </cell>
          <cell r="H40">
            <v>3719238000</v>
          </cell>
          <cell r="I40">
            <v>3719238000</v>
          </cell>
          <cell r="J40">
            <v>3694982100</v>
          </cell>
          <cell r="K40">
            <v>2844232050</v>
          </cell>
          <cell r="L40" t="str">
            <v>- Done</v>
          </cell>
          <cell r="M40" t="str">
            <v>- Done</v>
          </cell>
        </row>
        <row r="41">
          <cell r="D41" t="str">
            <v>DDT2018-012</v>
          </cell>
          <cell r="E41" t="str">
            <v>Jul</v>
          </cell>
          <cell r="F41">
            <v>126500000</v>
          </cell>
          <cell r="G41">
            <v>126500000</v>
          </cell>
          <cell r="H41">
            <v>126500000</v>
          </cell>
          <cell r="I41">
            <v>126500000</v>
          </cell>
          <cell r="J41">
            <v>126500000</v>
          </cell>
          <cell r="K41">
            <v>0</v>
          </cell>
          <cell r="L41" t="str">
            <v>- Done</v>
          </cell>
          <cell r="M41" t="str">
            <v>- Done</v>
          </cell>
        </row>
        <row r="42">
          <cell r="D42" t="str">
            <v>DDT2018-015</v>
          </cell>
          <cell r="E42" t="str">
            <v xml:space="preserve">Jun - Jul </v>
          </cell>
          <cell r="F42">
            <v>589675000</v>
          </cell>
          <cell r="G42">
            <v>589675000</v>
          </cell>
          <cell r="H42">
            <v>589675000</v>
          </cell>
          <cell r="I42">
            <v>591100000</v>
          </cell>
          <cell r="J42">
            <v>589675000</v>
          </cell>
          <cell r="K42">
            <v>267960000</v>
          </cell>
          <cell r="L42" t="str">
            <v>- Done</v>
          </cell>
          <cell r="M42" t="str">
            <v>- Done</v>
          </cell>
        </row>
        <row r="43">
          <cell r="D43" t="str">
            <v>DDT2018-017</v>
          </cell>
          <cell r="E43" t="str">
            <v>Jun</v>
          </cell>
          <cell r="F43">
            <v>687700000</v>
          </cell>
          <cell r="G43">
            <v>687700000</v>
          </cell>
          <cell r="H43">
            <v>687700000</v>
          </cell>
          <cell r="I43">
            <v>687700000</v>
          </cell>
          <cell r="J43">
            <v>687700000</v>
          </cell>
          <cell r="K43">
            <v>483000000</v>
          </cell>
          <cell r="L43" t="str">
            <v>- Done</v>
          </cell>
          <cell r="M43" t="str">
            <v>- Done</v>
          </cell>
        </row>
        <row r="44">
          <cell r="D44" t="str">
            <v>DDT2018-018</v>
          </cell>
          <cell r="E44" t="str">
            <v>Jun - Aug</v>
          </cell>
          <cell r="F44">
            <v>157550000</v>
          </cell>
          <cell r="G44">
            <v>157550000</v>
          </cell>
          <cell r="H44">
            <v>278852000</v>
          </cell>
          <cell r="I44">
            <v>213302000</v>
          </cell>
          <cell r="J44">
            <v>0</v>
          </cell>
          <cell r="K44">
            <v>79154500</v>
          </cell>
          <cell r="L44" t="str">
            <v>- Payment Follow Up</v>
          </cell>
          <cell r="M44">
            <v>0</v>
          </cell>
        </row>
        <row r="45">
          <cell r="D45" t="str">
            <v>DDT2018-016</v>
          </cell>
          <cell r="E45" t="str">
            <v>Sep</v>
          </cell>
          <cell r="F45">
            <v>589237000</v>
          </cell>
          <cell r="G45">
            <v>589237000</v>
          </cell>
          <cell r="H45">
            <v>589237000</v>
          </cell>
          <cell r="I45">
            <v>628150830</v>
          </cell>
          <cell r="J45">
            <v>552480830</v>
          </cell>
          <cell r="K45">
            <v>352884611</v>
          </cell>
          <cell r="L45" t="str">
            <v>- Await 1st payment (551,402,000) in
 7-Nov
- 2nd payment (37,835,000) in 22-Dec</v>
          </cell>
          <cell r="M45">
            <v>0</v>
          </cell>
        </row>
        <row r="46">
          <cell r="D46" t="str">
            <v>DDT2018-022</v>
          </cell>
          <cell r="E46" t="str">
            <v>Aug - Sep</v>
          </cell>
          <cell r="F46">
            <v>972785000</v>
          </cell>
          <cell r="G46">
            <v>972785000</v>
          </cell>
          <cell r="H46">
            <v>972785000</v>
          </cell>
          <cell r="I46">
            <v>0</v>
          </cell>
          <cell r="J46">
            <v>0</v>
          </cell>
          <cell r="K46">
            <v>0</v>
          </cell>
          <cell r="L46" t="str">
            <v>- Client confirmed 1st part: 304,175,000
- PO raised: 33,605,000</v>
          </cell>
          <cell r="M46" t="str">
            <v>- Client to confirm the remaining
- Await 1st payment: 33,605,000 in End  of Dec</v>
          </cell>
        </row>
        <row r="47">
          <cell r="D47" t="str">
            <v>DDT2018-023</v>
          </cell>
          <cell r="E47" t="str">
            <v>Aug - Sep</v>
          </cell>
          <cell r="F47">
            <v>207787000</v>
          </cell>
          <cell r="G47">
            <v>207787000</v>
          </cell>
          <cell r="H47">
            <v>207787000</v>
          </cell>
          <cell r="I47">
            <v>207787000</v>
          </cell>
          <cell r="J47">
            <v>0</v>
          </cell>
          <cell r="K47">
            <v>207787000</v>
          </cell>
          <cell r="L47" t="str">
            <v>- Release invoice already</v>
          </cell>
          <cell r="M47" t="str">
            <v>- Await payment in Nov 30</v>
          </cell>
        </row>
        <row r="48">
          <cell r="D48" t="str">
            <v>DDT2018-024</v>
          </cell>
          <cell r="E48" t="str">
            <v>Sep - Oct</v>
          </cell>
          <cell r="F48">
            <v>367070000</v>
          </cell>
          <cell r="G48">
            <v>367070000</v>
          </cell>
          <cell r="H48">
            <v>367070000</v>
          </cell>
          <cell r="I48">
            <v>367070000</v>
          </cell>
          <cell r="J48">
            <v>0</v>
          </cell>
          <cell r="K48">
            <v>367070000</v>
          </cell>
          <cell r="L48" t="str">
            <v>- Release invoice already</v>
          </cell>
          <cell r="M48" t="str">
            <v>- Await payment in Dec 31</v>
          </cell>
        </row>
        <row r="49">
          <cell r="D49" t="str">
            <v>DDT2018-025</v>
          </cell>
          <cell r="E49" t="str">
            <v>Sep - Oct</v>
          </cell>
          <cell r="F49">
            <v>28388000</v>
          </cell>
          <cell r="G49">
            <v>28388000</v>
          </cell>
          <cell r="H49">
            <v>28388000</v>
          </cell>
          <cell r="I49">
            <v>28388000</v>
          </cell>
          <cell r="J49">
            <v>0</v>
          </cell>
          <cell r="K49">
            <v>28388000</v>
          </cell>
          <cell r="L49" t="str">
            <v>- Release invoice already</v>
          </cell>
          <cell r="M49" t="str">
            <v>- Await payment in Dec 31</v>
          </cell>
        </row>
        <row r="50">
          <cell r="D50" t="str">
            <v>DDT2018-019</v>
          </cell>
          <cell r="E50" t="str">
            <v>Jun - Dec</v>
          </cell>
          <cell r="F50">
            <v>2320700000</v>
          </cell>
          <cell r="G50">
            <v>2320700000</v>
          </cell>
          <cell r="H50">
            <v>2320700000</v>
          </cell>
          <cell r="I50">
            <v>1194850000</v>
          </cell>
          <cell r="J50">
            <v>1194850000</v>
          </cell>
          <cell r="K50">
            <v>1052496555</v>
          </cell>
          <cell r="L50" t="str">
            <v>- Received 1st payment</v>
          </cell>
          <cell r="M50" t="str">
            <v>- Liquidation in Dec</v>
          </cell>
        </row>
        <row r="51">
          <cell r="D51" t="str">
            <v>DDT2018-020</v>
          </cell>
          <cell r="E51" t="str">
            <v>Jun - Aug</v>
          </cell>
          <cell r="F51">
            <v>661250000</v>
          </cell>
          <cell r="G51">
            <v>661250000</v>
          </cell>
          <cell r="H51">
            <v>151225000</v>
          </cell>
          <cell r="I51">
            <v>0</v>
          </cell>
          <cell r="J51">
            <v>0</v>
          </cell>
          <cell r="K51">
            <v>0</v>
          </cell>
          <cell r="L51" t="str">
            <v>- PCE approved
- Doing contract with Mediacom</v>
          </cell>
          <cell r="M51" t="str">
            <v>- Bill 100%</v>
          </cell>
        </row>
        <row r="52">
          <cell r="D52" t="str">
            <v>DDT2018-021</v>
          </cell>
          <cell r="E52" t="str">
            <v>Jun - Aug</v>
          </cell>
          <cell r="F52">
            <v>1000040000</v>
          </cell>
          <cell r="G52">
            <v>1000040000</v>
          </cell>
          <cell r="H52">
            <v>1000040000</v>
          </cell>
          <cell r="I52">
            <v>500020000</v>
          </cell>
          <cell r="J52">
            <v>0</v>
          </cell>
          <cell r="K52">
            <v>787600000</v>
          </cell>
          <cell r="L52" t="str">
            <v>- Liquidation &amp; Bill 2nd payment</v>
          </cell>
          <cell r="M52">
            <v>0</v>
          </cell>
        </row>
        <row r="53">
          <cell r="F53">
            <v>25849160273.080002</v>
          </cell>
          <cell r="G53">
            <v>25849160273.080002</v>
          </cell>
          <cell r="H53">
            <v>23551732998</v>
          </cell>
          <cell r="I53">
            <v>18458106930</v>
          </cell>
          <cell r="J53">
            <v>17613273340</v>
          </cell>
          <cell r="K53">
            <v>11323334133.144447</v>
          </cell>
        </row>
        <row r="57">
          <cell r="D57" t="str">
            <v>Contract No</v>
          </cell>
          <cell r="E57" t="str">
            <v>Duration</v>
          </cell>
          <cell r="F57" t="str">
            <v>Contract Value
(excl VAT)</v>
          </cell>
          <cell r="G57" t="str">
            <v>Contract Value
(incl VAT)</v>
          </cell>
          <cell r="H57" t="str">
            <v>2018 Revenue</v>
          </cell>
          <cell r="I57" t="str">
            <v>2018 Billed</v>
          </cell>
          <cell r="J57" t="str">
            <v>Received in 2018</v>
          </cell>
          <cell r="K57" t="str">
            <v>3rd party cost</v>
          </cell>
          <cell r="L57" t="str">
            <v>Status</v>
          </cell>
          <cell r="M57" t="str">
            <v>Next Step</v>
          </cell>
        </row>
        <row r="59">
          <cell r="D59" t="str">
            <v>CD2016-0038</v>
          </cell>
          <cell r="E59" t="str">
            <v>Oct - Dec</v>
          </cell>
          <cell r="F59">
            <v>833860500</v>
          </cell>
          <cell r="G59">
            <v>917246550</v>
          </cell>
          <cell r="H59">
            <v>275173965</v>
          </cell>
          <cell r="I59">
            <v>275173965</v>
          </cell>
          <cell r="J59">
            <v>275173965</v>
          </cell>
          <cell r="K59">
            <v>0</v>
          </cell>
          <cell r="L59" t="str">
            <v>Done</v>
          </cell>
          <cell r="M59">
            <v>0</v>
          </cell>
        </row>
        <row r="60">
          <cell r="D60" t="str">
            <v>CD2016-0058</v>
          </cell>
          <cell r="E60" t="str">
            <v>Dec</v>
          </cell>
          <cell r="F60">
            <v>91300000</v>
          </cell>
          <cell r="G60">
            <v>100430000</v>
          </cell>
          <cell r="H60">
            <v>89298000</v>
          </cell>
          <cell r="I60">
            <v>89298000</v>
          </cell>
          <cell r="J60">
            <v>89298000</v>
          </cell>
          <cell r="K60">
            <v>0</v>
          </cell>
          <cell r="L60" t="str">
            <v>Done</v>
          </cell>
          <cell r="M60">
            <v>0</v>
          </cell>
        </row>
        <row r="61">
          <cell r="D61" t="str">
            <v>CD2017 - 0031</v>
          </cell>
          <cell r="E61" t="str">
            <v>June - Aug</v>
          </cell>
          <cell r="F61">
            <v>781000000</v>
          </cell>
          <cell r="G61">
            <v>859100000</v>
          </cell>
          <cell r="H61">
            <v>721837490</v>
          </cell>
          <cell r="I61">
            <v>721837490</v>
          </cell>
          <cell r="J61">
            <v>721837490</v>
          </cell>
          <cell r="K61">
            <v>93399368</v>
          </cell>
          <cell r="L61" t="str">
            <v>Done</v>
          </cell>
          <cell r="M61">
            <v>0</v>
          </cell>
        </row>
        <row r="62">
          <cell r="D62" t="str">
            <v>CD2017-0064</v>
          </cell>
          <cell r="E62" t="str">
            <v>Nov</v>
          </cell>
          <cell r="F62">
            <v>89269950</v>
          </cell>
          <cell r="G62">
            <v>98196945</v>
          </cell>
          <cell r="H62">
            <v>98196945</v>
          </cell>
          <cell r="I62">
            <v>98196945</v>
          </cell>
          <cell r="J62">
            <v>98196945</v>
          </cell>
          <cell r="K62">
            <v>0</v>
          </cell>
          <cell r="L62" t="str">
            <v>Done</v>
          </cell>
          <cell r="M62">
            <v>0</v>
          </cell>
        </row>
        <row r="63">
          <cell r="D63" t="str">
            <v>CD2017-0050</v>
          </cell>
          <cell r="E63" t="str">
            <v>Sep - Nov</v>
          </cell>
          <cell r="F63">
            <v>246675000</v>
          </cell>
          <cell r="G63">
            <v>271342500</v>
          </cell>
          <cell r="H63">
            <v>271342500</v>
          </cell>
          <cell r="I63">
            <v>271342500</v>
          </cell>
          <cell r="J63">
            <v>271342500</v>
          </cell>
          <cell r="K63">
            <v>24667500</v>
          </cell>
          <cell r="L63" t="str">
            <v>- Done</v>
          </cell>
          <cell r="M63">
            <v>0</v>
          </cell>
        </row>
        <row r="64">
          <cell r="D64" t="str">
            <v>CD2017-0060</v>
          </cell>
          <cell r="E64" t="str">
            <v>Oct - Dec</v>
          </cell>
          <cell r="F64">
            <v>1482690400</v>
          </cell>
          <cell r="G64">
            <v>1630959440</v>
          </cell>
          <cell r="H64">
            <v>489287832</v>
          </cell>
          <cell r="I64">
            <v>0</v>
          </cell>
          <cell r="J64">
            <v>0</v>
          </cell>
          <cell r="K64">
            <v>1152667383.6666665</v>
          </cell>
          <cell r="L64" t="str">
            <v>- Updated liquidation &amp; subcontract &amp; draft invoice already</v>
          </cell>
          <cell r="M64" t="str">
            <v>- Client to confirm liquidation
- Issue invoice last payment &amp; follow up in 15 days</v>
          </cell>
        </row>
        <row r="65">
          <cell r="D65" t="str">
            <v xml:space="preserve">CD2018-011 </v>
          </cell>
          <cell r="E65" t="str">
            <v>June - July</v>
          </cell>
          <cell r="F65">
            <v>137637500</v>
          </cell>
          <cell r="G65">
            <v>137637500</v>
          </cell>
          <cell r="H65">
            <v>137637500</v>
          </cell>
          <cell r="I65">
            <v>137637500</v>
          </cell>
          <cell r="J65">
            <v>137637500</v>
          </cell>
          <cell r="K65">
            <v>12512500</v>
          </cell>
          <cell r="L65" t="str">
            <v>- Done</v>
          </cell>
          <cell r="M65">
            <v>0</v>
          </cell>
        </row>
        <row r="66">
          <cell r="D66" t="str">
            <v>CD2018 - 029</v>
          </cell>
          <cell r="F66">
            <v>349525000</v>
          </cell>
          <cell r="G66">
            <v>384477500.00000006</v>
          </cell>
          <cell r="H66">
            <v>384477500.00000006</v>
          </cell>
          <cell r="I66">
            <v>308217250</v>
          </cell>
          <cell r="J66">
            <v>0</v>
          </cell>
          <cell r="K66">
            <v>56039500</v>
          </cell>
          <cell r="L66" t="str">
            <v>- Proceeding contract re-signing &amp; invoice release</v>
          </cell>
          <cell r="M66" t="str">
            <v xml:space="preserve">- Contract sign-off &amp; Invoice release (in 6-Nov)
- Follow up payment in 7 days after adjusting invoice </v>
          </cell>
        </row>
        <row r="67">
          <cell r="D67" t="str">
            <v>CD2018 - 039</v>
          </cell>
          <cell r="E67" t="str">
            <v>July - Dec</v>
          </cell>
          <cell r="F67">
            <v>173161468.18181816</v>
          </cell>
          <cell r="G67">
            <v>190477615</v>
          </cell>
          <cell r="H67">
            <v>190477615</v>
          </cell>
          <cell r="I67">
            <v>0</v>
          </cell>
          <cell r="J67">
            <v>116517531</v>
          </cell>
          <cell r="K67">
            <v>130616146.81818181</v>
          </cell>
          <cell r="L67" t="str">
            <v>- Contract liquidating</v>
          </cell>
          <cell r="M67" t="str">
            <v>- Issue invoice &amp; follow up payment in Nov</v>
          </cell>
        </row>
        <row r="68">
          <cell r="D68" t="str">
            <v>CD2018-040</v>
          </cell>
          <cell r="E68" t="str">
            <v>July - Dec</v>
          </cell>
          <cell r="F68">
            <v>304194000</v>
          </cell>
          <cell r="G68">
            <v>334613400</v>
          </cell>
          <cell r="H68">
            <v>334613400</v>
          </cell>
          <cell r="I68">
            <v>0</v>
          </cell>
          <cell r="J68">
            <v>0</v>
          </cell>
          <cell r="K68">
            <v>0</v>
          </cell>
          <cell r="L68" t="str">
            <v>- Soft copy contract shared already</v>
          </cell>
          <cell r="M68" t="str">
            <v>- Chase client to update status and make payment in Nov</v>
          </cell>
        </row>
        <row r="69">
          <cell r="D69" t="str">
            <v>CD2018 - 049</v>
          </cell>
          <cell r="E69" t="str">
            <v>Sep - Dec</v>
          </cell>
          <cell r="F69">
            <v>139422250</v>
          </cell>
          <cell r="G69">
            <v>153364475</v>
          </cell>
          <cell r="H69">
            <v>153364475</v>
          </cell>
          <cell r="I69">
            <v>0</v>
          </cell>
          <cell r="J69">
            <v>0</v>
          </cell>
          <cell r="K69">
            <v>0</v>
          </cell>
          <cell r="L69" t="str">
            <v>- Shared soft copy contract</v>
          </cell>
          <cell r="M69" t="str">
            <v>- Client to update status and sign off contract</v>
          </cell>
        </row>
        <row r="70">
          <cell r="F70">
            <v>4628736068.181818</v>
          </cell>
          <cell r="G70">
            <v>5077845925</v>
          </cell>
          <cell r="H70">
            <v>3145707222</v>
          </cell>
          <cell r="I70">
            <v>1901703650</v>
          </cell>
          <cell r="J70">
            <v>1710003931</v>
          </cell>
          <cell r="K70">
            <v>1469902398.4848483</v>
          </cell>
        </row>
        <row r="74">
          <cell r="D74" t="str">
            <v>Contract No</v>
          </cell>
          <cell r="E74" t="str">
            <v>Duration</v>
          </cell>
          <cell r="F74" t="str">
            <v>Contract Value
(excl VAT)</v>
          </cell>
          <cell r="G74" t="str">
            <v>Contract Value
(incl VAT)</v>
          </cell>
          <cell r="H74" t="str">
            <v>2018 Revenue</v>
          </cell>
          <cell r="I74" t="str">
            <v>2018 Billed</v>
          </cell>
          <cell r="J74" t="str">
            <v>Received in 2018</v>
          </cell>
          <cell r="K74" t="str">
            <v>3rd party cost
(incl VAT)</v>
          </cell>
          <cell r="L74" t="str">
            <v>Status</v>
          </cell>
          <cell r="M74" t="str">
            <v>Next Step</v>
          </cell>
        </row>
        <row r="76">
          <cell r="D76" t="str">
            <v>CD2017-0019</v>
          </cell>
          <cell r="E76" t="str">
            <v>Apr 2017 - Apr 2018</v>
          </cell>
          <cell r="F76">
            <v>976482632.72727263</v>
          </cell>
          <cell r="G76">
            <v>1074130896</v>
          </cell>
          <cell r="H76">
            <v>537065448</v>
          </cell>
          <cell r="I76">
            <v>0</v>
          </cell>
          <cell r="J76">
            <v>0</v>
          </cell>
          <cell r="K76">
            <v>33522525</v>
          </cell>
          <cell r="L76" t="str">
            <v>Await client to confirm Liquidation. Issue invoice by Week of Nov 12th</v>
          </cell>
          <cell r="M76" t="str">
            <v>Receive last payment in W1 Dec</v>
          </cell>
        </row>
        <row r="77">
          <cell r="D77" t="str">
            <v>CD2017-0052</v>
          </cell>
          <cell r="E77" t="str">
            <v>Oct - Nov 2017</v>
          </cell>
          <cell r="F77">
            <v>1085435200</v>
          </cell>
          <cell r="G77">
            <v>1193978720</v>
          </cell>
          <cell r="H77">
            <v>1040495154</v>
          </cell>
          <cell r="I77">
            <v>1040495154</v>
          </cell>
          <cell r="J77">
            <v>1040495154</v>
          </cell>
          <cell r="K77">
            <v>428998042.54545456</v>
          </cell>
          <cell r="L77" t="str">
            <v>Done</v>
          </cell>
          <cell r="M77">
            <v>0</v>
          </cell>
        </row>
        <row r="78">
          <cell r="D78" t="str">
            <v>CD2017-0052-PLHĐ</v>
          </cell>
          <cell r="E78" t="str">
            <v>Nov-Dec 2017</v>
          </cell>
          <cell r="F78">
            <v>682500000</v>
          </cell>
          <cell r="G78">
            <v>750750000</v>
          </cell>
        </row>
        <row r="79">
          <cell r="D79" t="str">
            <v>CD2017-0062</v>
          </cell>
          <cell r="E79" t="str">
            <v>Mar - May 2018</v>
          </cell>
          <cell r="F79">
            <v>119174999.99999999</v>
          </cell>
          <cell r="G79">
            <v>131092500</v>
          </cell>
          <cell r="H79">
            <v>65546250</v>
          </cell>
          <cell r="I79">
            <v>65546250</v>
          </cell>
          <cell r="J79">
            <v>65546250</v>
          </cell>
          <cell r="K79">
            <v>11917500</v>
          </cell>
          <cell r="L79" t="str">
            <v>Done</v>
          </cell>
          <cell r="M79">
            <v>0</v>
          </cell>
        </row>
        <row r="80">
          <cell r="D80" t="str">
            <v>CD2017-0061</v>
          </cell>
          <cell r="E80" t="str">
            <v>Oct - Dec 2017</v>
          </cell>
          <cell r="F80">
            <v>250928999.99999997</v>
          </cell>
          <cell r="G80">
            <v>276021900</v>
          </cell>
          <cell r="H80">
            <v>138010950</v>
          </cell>
          <cell r="I80">
            <v>0</v>
          </cell>
          <cell r="J80">
            <v>0</v>
          </cell>
          <cell r="K80">
            <v>161292900</v>
          </cell>
          <cell r="L80" t="str">
            <v>Received 1st payment. WIP - done by W4 Nov 2018</v>
          </cell>
          <cell r="M80" t="str">
            <v>Bill last invoice by W1 Dec 2018 - Receive payment in W4 Dec 2018</v>
          </cell>
        </row>
        <row r="81">
          <cell r="D81" t="str">
            <v>CD2017-0063</v>
          </cell>
          <cell r="E81" t="str">
            <v>Nov2017-Dec 2017</v>
          </cell>
          <cell r="F81">
            <v>1827370999.9999998</v>
          </cell>
          <cell r="G81">
            <v>2010108100</v>
          </cell>
          <cell r="H81">
            <v>1008127871</v>
          </cell>
          <cell r="I81">
            <v>1008127871</v>
          </cell>
          <cell r="J81">
            <v>1008127871</v>
          </cell>
          <cell r="K81">
            <v>678983711.82828283</v>
          </cell>
          <cell r="L81" t="str">
            <v>Done</v>
          </cell>
          <cell r="M81">
            <v>0</v>
          </cell>
        </row>
        <row r="82">
          <cell r="D82" t="str">
            <v>CD2017-0071</v>
          </cell>
          <cell r="E82" t="str">
            <v>Nov 15 2017 - Feb 28 2018</v>
          </cell>
          <cell r="F82">
            <v>1823503499.9999998</v>
          </cell>
          <cell r="G82">
            <v>2005853850</v>
          </cell>
          <cell r="H82">
            <v>995225810</v>
          </cell>
          <cell r="I82">
            <v>995225810</v>
          </cell>
          <cell r="J82">
            <v>995225810</v>
          </cell>
          <cell r="K82">
            <v>1289382615.6363635</v>
          </cell>
          <cell r="L82" t="str">
            <v>Done
Liquidation confirmed: 995,225,810 VND</v>
          </cell>
          <cell r="M82">
            <v>0</v>
          </cell>
        </row>
        <row r="83">
          <cell r="D83" t="str">
            <v xml:space="preserve">CD2018-006 </v>
          </cell>
          <cell r="E83" t="str">
            <v>Mar - Apr 2018</v>
          </cell>
          <cell r="F83">
            <v>1700672058.181818</v>
          </cell>
          <cell r="G83">
            <v>1870739264</v>
          </cell>
          <cell r="H83">
            <v>1870739264</v>
          </cell>
          <cell r="I83">
            <v>1870739264</v>
          </cell>
          <cell r="J83">
            <v>1870739264</v>
          </cell>
          <cell r="K83">
            <v>1085743135.4646466</v>
          </cell>
          <cell r="L83" t="str">
            <v>Done</v>
          </cell>
          <cell r="M83">
            <v>0</v>
          </cell>
        </row>
        <row r="84">
          <cell r="D84" t="str">
            <v>CD2018-0012</v>
          </cell>
          <cell r="E84" t="str">
            <v>Apr - Jun 2018</v>
          </cell>
          <cell r="F84">
            <v>258438599.99999997</v>
          </cell>
          <cell r="G84">
            <v>284282460</v>
          </cell>
          <cell r="H84">
            <v>284282460</v>
          </cell>
          <cell r="I84">
            <v>142141230</v>
          </cell>
          <cell r="J84">
            <v>142141230</v>
          </cell>
          <cell r="K84">
            <v>38255263.333333328</v>
          </cell>
          <cell r="L84" t="str">
            <v>Received 1st payment. Issue last invoice in W2-Nov</v>
          </cell>
          <cell r="M84" t="str">
            <v>Receive last payment in W1 Dec</v>
          </cell>
        </row>
        <row r="85">
          <cell r="D85" t="str">
            <v xml:space="preserve">CD2018 - 022 </v>
          </cell>
          <cell r="E85" t="str">
            <v>15 May - 15 Oct</v>
          </cell>
          <cell r="F85">
            <v>583764925.45454538</v>
          </cell>
          <cell r="G85">
            <v>642141418</v>
          </cell>
          <cell r="H85">
            <v>642141418</v>
          </cell>
          <cell r="I85">
            <v>642141418</v>
          </cell>
          <cell r="J85">
            <v>321070709</v>
          </cell>
          <cell r="K85">
            <v>203904292.54545456</v>
          </cell>
          <cell r="L85" t="str">
            <v>Received 1st payment. Issued last invoice in W2-Oct</v>
          </cell>
          <cell r="M85" t="str">
            <v>Receive last payment in W1 Nov</v>
          </cell>
        </row>
        <row r="86">
          <cell r="D86" t="str">
            <v>CD2018 - 030</v>
          </cell>
          <cell r="E86" t="str">
            <v>15 May - 15 Oct</v>
          </cell>
          <cell r="F86">
            <v>1100684483.6363635</v>
          </cell>
          <cell r="G86">
            <v>1210752932</v>
          </cell>
          <cell r="H86">
            <v>1210652932</v>
          </cell>
          <cell r="I86">
            <v>605276466</v>
          </cell>
          <cell r="J86">
            <v>605276466</v>
          </cell>
          <cell r="K86">
            <v>839064297.36363602</v>
          </cell>
          <cell r="L86" t="str">
            <v>Received 1st payment. Await client to  confirm liquidation &amp; issue last invoice  in W1-Nov</v>
          </cell>
          <cell r="M86" t="str">
            <v>Receive last payment in W1 Dec</v>
          </cell>
        </row>
        <row r="87">
          <cell r="D87" t="str">
            <v>CD2018 - 041</v>
          </cell>
          <cell r="E87" t="str">
            <v>19 Aug - 15 Oct</v>
          </cell>
          <cell r="F87">
            <v>1974691079.9999998</v>
          </cell>
          <cell r="G87">
            <v>2172160188</v>
          </cell>
          <cell r="H87">
            <v>2172160188</v>
          </cell>
          <cell r="I87">
            <v>1086080094</v>
          </cell>
          <cell r="J87">
            <v>1086080094</v>
          </cell>
          <cell r="K87">
            <v>1696714656</v>
          </cell>
          <cell r="L87" t="str">
            <v>Received 1st payment. Issue last invoice in W3-Nov</v>
          </cell>
          <cell r="M87" t="str">
            <v>Receive last payment in W2 Dec</v>
          </cell>
        </row>
        <row r="88">
          <cell r="D88" t="str">
            <v>CD2018 - 044</v>
          </cell>
          <cell r="F88">
            <v>2675248027.272727</v>
          </cell>
          <cell r="G88">
            <v>2942772830</v>
          </cell>
          <cell r="H88">
            <v>2942772830</v>
          </cell>
          <cell r="I88">
            <v>1471386415</v>
          </cell>
          <cell r="J88">
            <v>1471386415</v>
          </cell>
          <cell r="K88">
            <v>2449699053.727273</v>
          </cell>
          <cell r="L88" t="str">
            <v>Received 1st payment. Issue last invoice in W4-Nov</v>
          </cell>
          <cell r="M88" t="str">
            <v>Receive last payment in W4 Dec</v>
          </cell>
        </row>
        <row r="89">
          <cell r="D89" t="str">
            <v>CD2018 - 046</v>
          </cell>
          <cell r="F89">
            <v>795286499.090909</v>
          </cell>
          <cell r="G89">
            <v>874815149</v>
          </cell>
          <cell r="H89">
            <v>874815149</v>
          </cell>
          <cell r="I89">
            <v>437407574</v>
          </cell>
          <cell r="J89">
            <v>437407574</v>
          </cell>
          <cell r="K89">
            <v>612370604.29999995</v>
          </cell>
          <cell r="L89" t="str">
            <v>Received 1st payment. Issue last invoice in W3-Nov</v>
          </cell>
          <cell r="M89" t="str">
            <v>Receive last payment in W2 Dec</v>
          </cell>
        </row>
        <row r="91">
          <cell r="F91">
            <v>15854182006.363636</v>
          </cell>
          <cell r="G91">
            <v>17439600207</v>
          </cell>
          <cell r="H91">
            <v>13782035724</v>
          </cell>
          <cell r="I91">
            <v>9364567546</v>
          </cell>
          <cell r="J91">
            <v>9043496837</v>
          </cell>
          <cell r="K91">
            <v>9529848597.7444439</v>
          </cell>
        </row>
        <row r="93">
          <cell r="D93" t="str">
            <v>Job No</v>
          </cell>
          <cell r="E93" t="str">
            <v>Month</v>
          </cell>
          <cell r="F93" t="str">
            <v>Contract Value
(excl VAT)</v>
          </cell>
          <cell r="G93" t="str">
            <v>Contract Value
(incl VAT)</v>
          </cell>
          <cell r="H93" t="str">
            <v>2018 Revenue</v>
          </cell>
          <cell r="I93" t="str">
            <v>2018 Billed</v>
          </cell>
          <cell r="J93" t="str">
            <v>Received in 2018</v>
          </cell>
          <cell r="K93" t="str">
            <v>3rd party cost</v>
          </cell>
          <cell r="L93" t="str">
            <v>Status</v>
          </cell>
          <cell r="M93" t="str">
            <v>Next Step</v>
          </cell>
        </row>
        <row r="95">
          <cell r="D95" t="str">
            <v>CD2017-0069</v>
          </cell>
          <cell r="E95" t="str">
            <v>Nov 2017 - May 2018</v>
          </cell>
          <cell r="F95">
            <v>225777199.99999997</v>
          </cell>
          <cell r="G95">
            <v>248354920</v>
          </cell>
          <cell r="H95">
            <v>67459920</v>
          </cell>
          <cell r="I95">
            <v>0</v>
          </cell>
          <cell r="J95">
            <v>0</v>
          </cell>
          <cell r="K95">
            <v>16445000</v>
          </cell>
          <cell r="L95" t="str">
            <v>Done</v>
          </cell>
          <cell r="M95">
            <v>0</v>
          </cell>
        </row>
        <row r="96">
          <cell r="F96">
            <v>225777199.99999997</v>
          </cell>
          <cell r="G96">
            <v>248354920</v>
          </cell>
          <cell r="H96">
            <v>67459920</v>
          </cell>
          <cell r="I96">
            <v>0</v>
          </cell>
          <cell r="J96">
            <v>0</v>
          </cell>
          <cell r="K96">
            <v>16445000</v>
          </cell>
        </row>
        <row r="99">
          <cell r="D99" t="str">
            <v>Contract No</v>
          </cell>
          <cell r="E99" t="str">
            <v>Duration</v>
          </cell>
          <cell r="F99" t="str">
            <v>Contract Value 
(excl VAT)</v>
          </cell>
          <cell r="G99" t="str">
            <v>Contract Value 
(incl VAT)</v>
          </cell>
          <cell r="H99" t="str">
            <v>2018 Revenue</v>
          </cell>
          <cell r="I99" t="str">
            <v>2018 Billed</v>
          </cell>
          <cell r="J99" t="str">
            <v>Received in 2018</v>
          </cell>
          <cell r="K99" t="str">
            <v>3rd party cost</v>
          </cell>
          <cell r="L99" t="str">
            <v>Status</v>
          </cell>
          <cell r="M99" t="str">
            <v>Next Step</v>
          </cell>
        </row>
        <row r="101">
          <cell r="D101" t="str">
            <v>DDT2017-010</v>
          </cell>
          <cell r="E101" t="str">
            <v>Aug - Sep</v>
          </cell>
          <cell r="F101">
            <v>11236500</v>
          </cell>
          <cell r="G101">
            <v>11236500</v>
          </cell>
          <cell r="H101">
            <v>11236500</v>
          </cell>
          <cell r="I101">
            <v>0</v>
          </cell>
          <cell r="J101">
            <v>11236500</v>
          </cell>
          <cell r="K101">
            <v>882777.77777777798</v>
          </cell>
          <cell r="L101" t="str">
            <v>Done</v>
          </cell>
          <cell r="M101">
            <v>0</v>
          </cell>
        </row>
        <row r="102">
          <cell r="D102" t="str">
            <v>DDT2016-004</v>
          </cell>
          <cell r="E102" t="str">
            <v>Aug - Sep</v>
          </cell>
          <cell r="F102">
            <v>109941600</v>
          </cell>
          <cell r="G102">
            <v>109941600</v>
          </cell>
          <cell r="H102">
            <v>54970800</v>
          </cell>
          <cell r="I102">
            <v>0</v>
          </cell>
          <cell r="J102">
            <v>54729700</v>
          </cell>
          <cell r="K102">
            <v>0</v>
          </cell>
          <cell r="L102" t="str">
            <v>Done</v>
          </cell>
          <cell r="M102">
            <v>0</v>
          </cell>
        </row>
        <row r="103">
          <cell r="F103">
            <v>121178100</v>
          </cell>
          <cell r="G103">
            <v>121178100</v>
          </cell>
          <cell r="H103">
            <v>66207300</v>
          </cell>
          <cell r="I103">
            <v>0</v>
          </cell>
          <cell r="J103">
            <v>65966200</v>
          </cell>
          <cell r="K103">
            <v>0</v>
          </cell>
        </row>
        <row r="107">
          <cell r="D107" t="str">
            <v>Job No</v>
          </cell>
          <cell r="E107" t="str">
            <v>Month</v>
          </cell>
          <cell r="F107" t="str">
            <v>Contract Value
(excl VAT)</v>
          </cell>
          <cell r="G107" t="str">
            <v>Contract Value
(incl VAT)</v>
          </cell>
          <cell r="H107" t="str">
            <v>2018 Revenue</v>
          </cell>
          <cell r="I107" t="str">
            <v>2018 Billed</v>
          </cell>
          <cell r="J107" t="str">
            <v>Received in 2018</v>
          </cell>
          <cell r="K107" t="str">
            <v>3rd party cost</v>
          </cell>
          <cell r="L107" t="str">
            <v>Status</v>
          </cell>
          <cell r="M107" t="str">
            <v>Next Step</v>
          </cell>
        </row>
        <row r="109">
          <cell r="D109" t="str">
            <v>CD2017 -0032</v>
          </cell>
          <cell r="E109" t="str">
            <v>June 17 - Mar 18</v>
          </cell>
          <cell r="F109">
            <v>910091805.4545455</v>
          </cell>
          <cell r="G109">
            <v>1001100986</v>
          </cell>
          <cell r="H109">
            <v>300330296</v>
          </cell>
          <cell r="I109">
            <v>352996564</v>
          </cell>
          <cell r="J109">
            <v>300330296</v>
          </cell>
          <cell r="K109">
            <v>124093561.18181819</v>
          </cell>
          <cell r="L109" t="str">
            <v>Done</v>
          </cell>
          <cell r="M109">
            <v>0</v>
          </cell>
        </row>
        <row r="110">
          <cell r="D110" t="str">
            <v>CD2017-0040</v>
          </cell>
          <cell r="E110" t="str">
            <v>Aug - Sep</v>
          </cell>
          <cell r="F110">
            <v>38518725.454545453</v>
          </cell>
          <cell r="G110">
            <v>42370598</v>
          </cell>
          <cell r="H110">
            <v>42370598</v>
          </cell>
          <cell r="I110">
            <v>42370598</v>
          </cell>
          <cell r="J110">
            <v>42370598</v>
          </cell>
          <cell r="K110">
            <v>3851872.5454545454</v>
          </cell>
          <cell r="L110" t="str">
            <v>Done</v>
          </cell>
          <cell r="M110">
            <v>0</v>
          </cell>
        </row>
        <row r="111">
          <cell r="D111" t="str">
            <v>CD2017-0059</v>
          </cell>
          <cell r="E111" t="str">
            <v>Oct - Nov</v>
          </cell>
          <cell r="F111">
            <v>71475075.454545453</v>
          </cell>
          <cell r="G111">
            <v>78622583</v>
          </cell>
          <cell r="H111">
            <v>24228377</v>
          </cell>
          <cell r="I111">
            <v>24228377</v>
          </cell>
          <cell r="J111">
            <v>24228377</v>
          </cell>
          <cell r="K111">
            <v>7205835.0090909079</v>
          </cell>
          <cell r="L111" t="str">
            <v>Done</v>
          </cell>
          <cell r="M111">
            <v>0</v>
          </cell>
        </row>
        <row r="112">
          <cell r="D112" t="str">
            <v xml:space="preserve">CD2018-005 </v>
          </cell>
          <cell r="E112" t="str">
            <v>Feb - Mar</v>
          </cell>
          <cell r="F112">
            <v>47878425.454545453</v>
          </cell>
          <cell r="G112">
            <v>52666268</v>
          </cell>
          <cell r="H112">
            <v>52666268</v>
          </cell>
          <cell r="I112">
            <v>0</v>
          </cell>
          <cell r="J112">
            <v>52666268</v>
          </cell>
          <cell r="K112">
            <v>24742842.545454547</v>
          </cell>
          <cell r="L112" t="str">
            <v>Done</v>
          </cell>
          <cell r="M112">
            <v>0</v>
          </cell>
        </row>
        <row r="113">
          <cell r="D113" t="str">
            <v xml:space="preserve">CD2018-009 </v>
          </cell>
          <cell r="E113" t="str">
            <v>20 Mar - 31 Mar</v>
          </cell>
          <cell r="F113">
            <v>510259750</v>
          </cell>
          <cell r="G113">
            <v>561285725</v>
          </cell>
          <cell r="H113">
            <v>561285725</v>
          </cell>
          <cell r="I113">
            <v>561285725</v>
          </cell>
          <cell r="J113">
            <v>561285725</v>
          </cell>
          <cell r="K113">
            <v>181865932</v>
          </cell>
          <cell r="L113" t="str">
            <v>Done</v>
          </cell>
          <cell r="M113">
            <v>0</v>
          </cell>
        </row>
        <row r="114">
          <cell r="D114" t="str">
            <v xml:space="preserve">CD2018-010 </v>
          </cell>
          <cell r="E114" t="str">
            <v>20 Mar - 31 Mar</v>
          </cell>
          <cell r="F114">
            <v>125125000</v>
          </cell>
          <cell r="G114">
            <v>137637500</v>
          </cell>
          <cell r="H114">
            <v>137637500</v>
          </cell>
          <cell r="I114">
            <v>137637500</v>
          </cell>
          <cell r="J114">
            <v>137637500</v>
          </cell>
          <cell r="K114">
            <v>17623611.111111112</v>
          </cell>
          <cell r="L114" t="str">
            <v>Done</v>
          </cell>
          <cell r="M114">
            <v>0</v>
          </cell>
        </row>
        <row r="115">
          <cell r="D115" t="str">
            <v>CD2018 - 025</v>
          </cell>
          <cell r="E115" t="str">
            <v>July - Sep</v>
          </cell>
          <cell r="F115">
            <v>148671250</v>
          </cell>
          <cell r="G115">
            <v>179892213</v>
          </cell>
          <cell r="H115">
            <v>179892213</v>
          </cell>
          <cell r="I115">
            <v>125924549</v>
          </cell>
          <cell r="J115">
            <v>0</v>
          </cell>
          <cell r="K115">
            <v>16353837.5454545</v>
          </cell>
          <cell r="L115" t="str">
            <v>- Liquidated</v>
          </cell>
          <cell r="M115" t="str">
            <v>- Chase client to update status
- Issue invoice and follow up payment in Nov</v>
          </cell>
        </row>
        <row r="116">
          <cell r="D116" t="str">
            <v>CD2018 - 035</v>
          </cell>
          <cell r="E116" t="str">
            <v>July - Sep</v>
          </cell>
          <cell r="F116">
            <v>53458900</v>
          </cell>
          <cell r="G116">
            <v>53458900</v>
          </cell>
          <cell r="H116">
            <v>53458900</v>
          </cell>
          <cell r="I116">
            <v>0</v>
          </cell>
          <cell r="J116">
            <v>0</v>
          </cell>
          <cell r="K116">
            <v>3636364</v>
          </cell>
          <cell r="L116" t="str">
            <v>- Liquidated</v>
          </cell>
          <cell r="M116" t="str">
            <v>- Chase client to update status
- Issue invoice and follow up payment in Nov</v>
          </cell>
        </row>
        <row r="117">
          <cell r="D117" t="str">
            <v>CD2018 - 037</v>
          </cell>
          <cell r="E117" t="str">
            <v>Aug - Feb'19</v>
          </cell>
          <cell r="F117">
            <v>58696767</v>
          </cell>
          <cell r="G117">
            <v>58696767</v>
          </cell>
          <cell r="H117">
            <v>58696767</v>
          </cell>
          <cell r="I117">
            <v>0</v>
          </cell>
          <cell r="J117">
            <v>0</v>
          </cell>
          <cell r="K117">
            <v>0</v>
          </cell>
          <cell r="L117" t="str">
            <v>- Resign contract &amp; share to client</v>
          </cell>
          <cell r="M117" t="str">
            <v>- Client to make 70% deposit in Nov</v>
          </cell>
        </row>
        <row r="118">
          <cell r="D118" t="str">
            <v>CD2018 - 032</v>
          </cell>
          <cell r="E118" t="str">
            <v>July - May'19</v>
          </cell>
          <cell r="F118">
            <v>1435521588</v>
          </cell>
          <cell r="G118">
            <v>1435521588</v>
          </cell>
          <cell r="H118">
            <v>1004865111</v>
          </cell>
          <cell r="I118">
            <v>1004865111</v>
          </cell>
          <cell r="J118">
            <v>1004865111</v>
          </cell>
          <cell r="K118">
            <v>130501962.54545499</v>
          </cell>
          <cell r="L118" t="str">
            <v>- 1H &amp; Sony Show liquidating</v>
          </cell>
          <cell r="M118">
            <v>0</v>
          </cell>
        </row>
        <row r="119">
          <cell r="F119">
            <v>3399697286.818182</v>
          </cell>
          <cell r="G119">
            <v>3601253128</v>
          </cell>
          <cell r="H119">
            <v>2415431755</v>
          </cell>
          <cell r="I119">
            <v>2249308424</v>
          </cell>
          <cell r="J119">
            <v>2123383875</v>
          </cell>
          <cell r="K119">
            <v>509875818.4838388</v>
          </cell>
        </row>
        <row r="121">
          <cell r="D121" t="str">
            <v>Job No</v>
          </cell>
          <cell r="E121" t="str">
            <v>Month</v>
          </cell>
          <cell r="F121" t="str">
            <v>Contract Value
(excl VAT)</v>
          </cell>
          <cell r="G121" t="str">
            <v>Contract Value
(incl VAT)</v>
          </cell>
          <cell r="H121" t="str">
            <v>2018 Revenue</v>
          </cell>
          <cell r="I121" t="str">
            <v>2018 Billed</v>
          </cell>
          <cell r="J121" t="str">
            <v>Received in 2018</v>
          </cell>
          <cell r="K121" t="str">
            <v>3rd party cost</v>
          </cell>
          <cell r="L121" t="str">
            <v>Status</v>
          </cell>
          <cell r="M121" t="str">
            <v>Next Step</v>
          </cell>
        </row>
        <row r="123">
          <cell r="D123" t="str">
            <v>CD2017-0057</v>
          </cell>
          <cell r="E123" t="str">
            <v>Oct - Nov</v>
          </cell>
          <cell r="F123">
            <v>44926200</v>
          </cell>
          <cell r="G123">
            <v>49418820</v>
          </cell>
          <cell r="H123">
            <v>49418820</v>
          </cell>
          <cell r="I123">
            <v>49418820</v>
          </cell>
          <cell r="J123">
            <v>49418820</v>
          </cell>
          <cell r="K123">
            <v>4492620</v>
          </cell>
          <cell r="L123" t="str">
            <v>Done</v>
          </cell>
          <cell r="M123">
            <v>0</v>
          </cell>
        </row>
        <row r="124">
          <cell r="D124" t="str">
            <v>CD2017-0058</v>
          </cell>
          <cell r="E124" t="str">
            <v>Oct - Nov</v>
          </cell>
          <cell r="F124">
            <v>33687225.454545453</v>
          </cell>
          <cell r="G124">
            <v>37055948</v>
          </cell>
          <cell r="H124">
            <v>37055948</v>
          </cell>
          <cell r="I124">
            <v>37055948</v>
          </cell>
          <cell r="J124">
            <v>37055948</v>
          </cell>
          <cell r="K124">
            <v>15259833.545454545</v>
          </cell>
          <cell r="L124" t="str">
            <v>Done</v>
          </cell>
          <cell r="M124">
            <v>0</v>
          </cell>
        </row>
        <row r="125">
          <cell r="D125" t="str">
            <v>PO VT2533 -</v>
          </cell>
          <cell r="E125" t="str">
            <v>Dec</v>
          </cell>
          <cell r="F125">
            <v>6235625.4545454541</v>
          </cell>
          <cell r="G125">
            <v>6859188</v>
          </cell>
          <cell r="H125">
            <v>6859188</v>
          </cell>
          <cell r="I125">
            <v>6859188</v>
          </cell>
          <cell r="J125">
            <v>6859188</v>
          </cell>
          <cell r="K125">
            <v>2502325.5454545454</v>
          </cell>
          <cell r="L125" t="str">
            <v>Done</v>
          </cell>
          <cell r="M125">
            <v>0</v>
          </cell>
        </row>
        <row r="126">
          <cell r="D126" t="str">
            <v>PO VT2573 -</v>
          </cell>
          <cell r="E126" t="str">
            <v>May</v>
          </cell>
          <cell r="F126">
            <v>8787625</v>
          </cell>
          <cell r="G126">
            <v>9666387.5</v>
          </cell>
          <cell r="H126">
            <v>9666387.5</v>
          </cell>
          <cell r="I126">
            <v>9666388</v>
          </cell>
          <cell r="J126">
            <v>9666387.5</v>
          </cell>
          <cell r="K126">
            <v>0</v>
          </cell>
          <cell r="L126" t="str">
            <v>Done</v>
          </cell>
          <cell r="M126">
            <v>0</v>
          </cell>
        </row>
        <row r="127">
          <cell r="D127" t="str">
            <v>PO VT2552 -</v>
          </cell>
          <cell r="E127" t="str">
            <v>Feb</v>
          </cell>
          <cell r="F127">
            <v>8729875.4545454532</v>
          </cell>
          <cell r="G127">
            <v>9602863</v>
          </cell>
          <cell r="H127">
            <v>9602863</v>
          </cell>
          <cell r="I127">
            <v>9602852</v>
          </cell>
          <cell r="J127">
            <v>9602863</v>
          </cell>
          <cell r="K127">
            <v>1872987</v>
          </cell>
          <cell r="L127" t="str">
            <v>Done</v>
          </cell>
          <cell r="M127">
            <v>0</v>
          </cell>
        </row>
        <row r="128">
          <cell r="F128">
            <v>102366551.36363636</v>
          </cell>
          <cell r="G128">
            <v>112603206.5</v>
          </cell>
          <cell r="H128">
            <v>112603206.5</v>
          </cell>
          <cell r="I128">
            <v>112603196</v>
          </cell>
          <cell r="J128">
            <v>112603206.5</v>
          </cell>
          <cell r="K128">
            <v>24127766.090909094</v>
          </cell>
        </row>
        <row r="132">
          <cell r="D132" t="str">
            <v>Job No</v>
          </cell>
          <cell r="E132" t="str">
            <v>Month</v>
          </cell>
          <cell r="F132" t="str">
            <v>Contract Value
(excl VAT)</v>
          </cell>
          <cell r="G132" t="str">
            <v>Contract Value
(incl VAT)</v>
          </cell>
          <cell r="H132" t="str">
            <v>2018 Revenue</v>
          </cell>
          <cell r="I132" t="str">
            <v>2018 Billed</v>
          </cell>
          <cell r="J132" t="str">
            <v>Received in 2018</v>
          </cell>
          <cell r="K132" t="str">
            <v>3rd party cost</v>
          </cell>
          <cell r="L132" t="str">
            <v>Status</v>
          </cell>
          <cell r="M132" t="str">
            <v>Next Step</v>
          </cell>
        </row>
        <row r="134">
          <cell r="D134" t="str">
            <v>CD2017-0028</v>
          </cell>
          <cell r="E134" t="str">
            <v>May - Jun</v>
          </cell>
          <cell r="F134">
            <v>307948200</v>
          </cell>
          <cell r="G134">
            <v>338743020</v>
          </cell>
          <cell r="H134">
            <v>7206781</v>
          </cell>
          <cell r="I134">
            <v>7471695</v>
          </cell>
          <cell r="J134">
            <v>7206781</v>
          </cell>
          <cell r="K134">
            <v>-14718165</v>
          </cell>
          <cell r="L134" t="str">
            <v>- Done</v>
          </cell>
          <cell r="M134" t="str">
            <v>- Done</v>
          </cell>
        </row>
        <row r="135">
          <cell r="F135">
            <v>307948200</v>
          </cell>
          <cell r="G135">
            <v>338743020</v>
          </cell>
          <cell r="H135">
            <v>7206781</v>
          </cell>
          <cell r="I135">
            <v>7471695</v>
          </cell>
          <cell r="J135">
            <v>7206781</v>
          </cell>
          <cell r="K135">
            <v>-14718165</v>
          </cell>
        </row>
        <row r="139">
          <cell r="D139" t="str">
            <v>Job No</v>
          </cell>
          <cell r="E139" t="str">
            <v>Month</v>
          </cell>
          <cell r="F139" t="str">
            <v>Contract Value
(excl VAT)</v>
          </cell>
          <cell r="G139" t="str">
            <v>Contract Value
(incl VAT)</v>
          </cell>
          <cell r="H139" t="str">
            <v>2018 Revenue</v>
          </cell>
          <cell r="I139" t="str">
            <v>2018 Billed</v>
          </cell>
          <cell r="J139" t="str">
            <v>Received in 2018</v>
          </cell>
          <cell r="K139" t="str">
            <v>3rd party cost</v>
          </cell>
          <cell r="L139" t="str">
            <v>Status</v>
          </cell>
          <cell r="M139" t="str">
            <v>Next Step</v>
          </cell>
        </row>
        <row r="141">
          <cell r="D141" t="str">
            <v>CD2017-0023</v>
          </cell>
          <cell r="E141" t="str">
            <v>May - Dec</v>
          </cell>
          <cell r="F141">
            <v>313623200</v>
          </cell>
          <cell r="G141">
            <v>344985520</v>
          </cell>
          <cell r="H141">
            <v>41131833</v>
          </cell>
          <cell r="I141">
            <v>41131833</v>
          </cell>
          <cell r="J141">
            <v>41131833</v>
          </cell>
          <cell r="K141">
            <v>6517035.777777778</v>
          </cell>
          <cell r="L141" t="str">
            <v>- Done</v>
          </cell>
          <cell r="M141" t="str">
            <v>- Done</v>
          </cell>
        </row>
        <row r="142">
          <cell r="D142" t="str">
            <v>CD2017-0066</v>
          </cell>
          <cell r="E142" t="str">
            <v>Nov-Dec</v>
          </cell>
          <cell r="F142">
            <v>1707012249.9999998</v>
          </cell>
          <cell r="G142">
            <v>1877713475</v>
          </cell>
          <cell r="H142">
            <v>1113346414</v>
          </cell>
          <cell r="I142">
            <v>1007610323</v>
          </cell>
          <cell r="J142">
            <v>1007610323</v>
          </cell>
          <cell r="K142">
            <v>1132288993.4545455</v>
          </cell>
          <cell r="L142" t="str">
            <v>- Done</v>
          </cell>
          <cell r="M142" t="str">
            <v>- Done</v>
          </cell>
        </row>
        <row r="143">
          <cell r="F143">
            <v>2020635449.9999998</v>
          </cell>
          <cell r="G143">
            <v>2222698995</v>
          </cell>
          <cell r="H143">
            <v>1154478247</v>
          </cell>
          <cell r="I143">
            <v>1048742156</v>
          </cell>
          <cell r="J143">
            <v>1048742156</v>
          </cell>
          <cell r="K143">
            <v>1138806029.2323232</v>
          </cell>
        </row>
        <row r="146">
          <cell r="D146" t="str">
            <v>Job No</v>
          </cell>
          <cell r="E146" t="str">
            <v>Month</v>
          </cell>
          <cell r="F146" t="str">
            <v>Contract Value
(excl VAT)</v>
          </cell>
          <cell r="G146" t="str">
            <v>Contract Value
(incl VAT)</v>
          </cell>
          <cell r="H146" t="str">
            <v>2018 Revenue</v>
          </cell>
          <cell r="I146" t="str">
            <v>2018 Billed</v>
          </cell>
          <cell r="J146" t="str">
            <v>Received in 2018</v>
          </cell>
          <cell r="K146" t="str">
            <v>3rd party cost</v>
          </cell>
          <cell r="L146" t="str">
            <v>Status</v>
          </cell>
          <cell r="M146" t="str">
            <v>Next Step</v>
          </cell>
        </row>
        <row r="148">
          <cell r="D148" t="str">
            <v>CD2017-0075</v>
          </cell>
          <cell r="E148" t="str">
            <v>Dec - Feb</v>
          </cell>
          <cell r="F148">
            <v>337095000</v>
          </cell>
          <cell r="G148">
            <v>374550000</v>
          </cell>
          <cell r="H148">
            <v>374550000</v>
          </cell>
          <cell r="I148">
            <v>374000000</v>
          </cell>
          <cell r="J148">
            <v>374550000</v>
          </cell>
          <cell r="K148">
            <v>50666666.333333336</v>
          </cell>
          <cell r="L148" t="str">
            <v>Done</v>
          </cell>
          <cell r="M148">
            <v>0</v>
          </cell>
        </row>
        <row r="149">
          <cell r="D149" t="str">
            <v xml:space="preserve">CD2018-001 </v>
          </cell>
          <cell r="E149" t="str">
            <v>Dec - Feb</v>
          </cell>
          <cell r="F149">
            <v>337095000</v>
          </cell>
          <cell r="G149">
            <v>374550000</v>
          </cell>
          <cell r="H149">
            <v>374550000</v>
          </cell>
          <cell r="I149">
            <v>374550000</v>
          </cell>
          <cell r="J149">
            <v>374550000</v>
          </cell>
          <cell r="K149">
            <v>34050000</v>
          </cell>
          <cell r="L149" t="str">
            <v>Done</v>
          </cell>
          <cell r="M149">
            <v>0</v>
          </cell>
        </row>
        <row r="150">
          <cell r="D150" t="str">
            <v xml:space="preserve">CD2018-002 </v>
          </cell>
          <cell r="E150" t="str">
            <v>Dec - Feb</v>
          </cell>
          <cell r="F150">
            <v>337095000</v>
          </cell>
          <cell r="G150">
            <v>374550000</v>
          </cell>
          <cell r="H150">
            <v>374550000</v>
          </cell>
          <cell r="I150">
            <v>374550000</v>
          </cell>
          <cell r="J150">
            <v>374550000</v>
          </cell>
          <cell r="K150">
            <v>34050000</v>
          </cell>
          <cell r="L150" t="str">
            <v>Done</v>
          </cell>
          <cell r="M150">
            <v>0</v>
          </cell>
        </row>
        <row r="151">
          <cell r="D151" t="str">
            <v xml:space="preserve">CD2018-003 </v>
          </cell>
          <cell r="E151" t="str">
            <v>Dec - Feb</v>
          </cell>
          <cell r="F151">
            <v>337095000</v>
          </cell>
          <cell r="G151">
            <v>374550000</v>
          </cell>
          <cell r="H151">
            <v>374550000</v>
          </cell>
          <cell r="I151">
            <v>0</v>
          </cell>
          <cell r="J151">
            <v>0</v>
          </cell>
          <cell r="K151">
            <v>34050000</v>
          </cell>
          <cell r="L151" t="str">
            <v xml:space="preserve">- On going </v>
          </cell>
          <cell r="M151" t="str">
            <v>- Client confirm job to liquidate &amp; release invoice</v>
          </cell>
        </row>
        <row r="152">
          <cell r="D152" t="str">
            <v>CD2018-0004</v>
          </cell>
          <cell r="E152" t="str">
            <v>Dec'17 - Dec'18</v>
          </cell>
          <cell r="F152">
            <v>890800302.60000002</v>
          </cell>
          <cell r="G152">
            <v>989778114</v>
          </cell>
          <cell r="H152">
            <v>688257196</v>
          </cell>
          <cell r="I152">
            <v>281262539</v>
          </cell>
          <cell r="J152">
            <v>193368139</v>
          </cell>
          <cell r="K152">
            <v>355010737.86363631</v>
          </cell>
          <cell r="L152" t="str">
            <v>- Done</v>
          </cell>
          <cell r="M152">
            <v>0</v>
          </cell>
        </row>
        <row r="153">
          <cell r="G153">
            <v>2487978114</v>
          </cell>
          <cell r="H153">
            <v>2186457196</v>
          </cell>
          <cell r="I153">
            <v>1404362539</v>
          </cell>
          <cell r="J153">
            <v>1317018139</v>
          </cell>
          <cell r="K153">
            <v>507827404.19696963</v>
          </cell>
        </row>
        <row r="156">
          <cell r="D156" t="str">
            <v>Job No</v>
          </cell>
          <cell r="E156" t="str">
            <v>Month</v>
          </cell>
          <cell r="F156" t="str">
            <v>Contract Value
(excl VAT)</v>
          </cell>
          <cell r="G156" t="str">
            <v>Contract Value
(incl VAT)</v>
          </cell>
          <cell r="H156" t="str">
            <v>2018 Revenue</v>
          </cell>
          <cell r="I156" t="str">
            <v>2018 Billed</v>
          </cell>
          <cell r="J156" t="str">
            <v>Received in 2018</v>
          </cell>
          <cell r="K156" t="str">
            <v>3rd party cost</v>
          </cell>
          <cell r="L156" t="str">
            <v>Status</v>
          </cell>
          <cell r="M156" t="str">
            <v>Next Step</v>
          </cell>
        </row>
        <row r="158">
          <cell r="D158" t="str">
            <v>CD2017 -0034</v>
          </cell>
          <cell r="E158" t="str">
            <v>MAY - JUL</v>
          </cell>
          <cell r="F158">
            <v>374550000</v>
          </cell>
          <cell r="G158">
            <v>412005000</v>
          </cell>
          <cell r="H158">
            <v>206002500</v>
          </cell>
          <cell r="I158">
            <v>206002500</v>
          </cell>
          <cell r="J158">
            <v>206002500</v>
          </cell>
          <cell r="K158">
            <v>0</v>
          </cell>
          <cell r="L158" t="str">
            <v>Done</v>
          </cell>
          <cell r="M158">
            <v>0</v>
          </cell>
        </row>
        <row r="159">
          <cell r="D159" t="str">
            <v>CD2017-0068</v>
          </cell>
          <cell r="E159" t="str">
            <v>Nov2017-Feb2018</v>
          </cell>
          <cell r="F159">
            <v>451507539.99999994</v>
          </cell>
          <cell r="G159">
            <v>496658294</v>
          </cell>
          <cell r="H159">
            <v>254409881</v>
          </cell>
          <cell r="I159">
            <v>254409881</v>
          </cell>
          <cell r="J159">
            <v>254409881</v>
          </cell>
          <cell r="K159">
            <v>50894660</v>
          </cell>
          <cell r="L159" t="str">
            <v>Done</v>
          </cell>
          <cell r="M159">
            <v>0</v>
          </cell>
        </row>
        <row r="160">
          <cell r="G160">
            <v>908663294</v>
          </cell>
          <cell r="H160">
            <v>460412381</v>
          </cell>
          <cell r="I160">
            <v>460412381</v>
          </cell>
          <cell r="J160">
            <v>460412381</v>
          </cell>
          <cell r="K160">
            <v>50894660</v>
          </cell>
        </row>
        <row r="162">
          <cell r="D162" t="str">
            <v>Contract No</v>
          </cell>
          <cell r="E162" t="str">
            <v>Duration</v>
          </cell>
          <cell r="F162" t="str">
            <v>Contract Value
(excl VAT)</v>
          </cell>
          <cell r="G162" t="str">
            <v>Contract Value
(incl VAT)</v>
          </cell>
          <cell r="H162" t="str">
            <v>2018 Revenue</v>
          </cell>
          <cell r="I162" t="str">
            <v>2018 Billed</v>
          </cell>
          <cell r="J162" t="str">
            <v>Received in 2018</v>
          </cell>
          <cell r="K162" t="str">
            <v>3rd party cost</v>
          </cell>
          <cell r="L162" t="str">
            <v>Status</v>
          </cell>
          <cell r="M162" t="str">
            <v>Next Step</v>
          </cell>
        </row>
        <row r="164">
          <cell r="D164" t="str">
            <v>CD2017-0043</v>
          </cell>
          <cell r="E164" t="str">
            <v>Sep'17-Feb'18</v>
          </cell>
          <cell r="F164">
            <v>1268262620</v>
          </cell>
          <cell r="G164">
            <v>1395088882</v>
          </cell>
          <cell r="H164">
            <v>558035553</v>
          </cell>
          <cell r="I164">
            <v>617944171</v>
          </cell>
          <cell r="J164">
            <v>152488888.20000002</v>
          </cell>
          <cell r="K164">
            <v>243534282.62857142</v>
          </cell>
          <cell r="L164" t="str">
            <v>- Issued invoice last payment already</v>
          </cell>
          <cell r="M164" t="str">
            <v>- Client to make payment by 9-Nov</v>
          </cell>
        </row>
        <row r="165">
          <cell r="D165" t="str">
            <v xml:space="preserve">CD2018-008 </v>
          </cell>
          <cell r="E165" t="str">
            <v>Sep'17-Feb'18</v>
          </cell>
          <cell r="F165">
            <v>29949680</v>
          </cell>
          <cell r="G165">
            <v>329446480</v>
          </cell>
          <cell r="H165">
            <v>329446480</v>
          </cell>
          <cell r="I165">
            <v>329446480</v>
          </cell>
          <cell r="J165">
            <v>329446480</v>
          </cell>
          <cell r="K165">
            <v>112584482</v>
          </cell>
          <cell r="L165" t="str">
            <v>- Done</v>
          </cell>
          <cell r="M165">
            <v>0</v>
          </cell>
        </row>
        <row r="166">
          <cell r="G166">
            <v>1724535362</v>
          </cell>
          <cell r="H166">
            <v>887482033</v>
          </cell>
          <cell r="I166">
            <v>947390651</v>
          </cell>
          <cell r="J166">
            <v>481935368.20000005</v>
          </cell>
          <cell r="K166">
            <v>356118764.62857139</v>
          </cell>
        </row>
        <row r="169">
          <cell r="D169" t="str">
            <v>Contract No</v>
          </cell>
          <cell r="E169" t="str">
            <v>Duration</v>
          </cell>
          <cell r="F169" t="str">
            <v>Contract Value
(excl VAT)</v>
          </cell>
          <cell r="G169" t="str">
            <v>Contract Value
(incl VAT)</v>
          </cell>
          <cell r="H169" t="str">
            <v>2018 Revenue</v>
          </cell>
          <cell r="I169" t="str">
            <v>2018 Billed</v>
          </cell>
          <cell r="J169" t="str">
            <v>Received in 2018</v>
          </cell>
          <cell r="K169" t="str">
            <v>3rd party cost</v>
          </cell>
          <cell r="L169" t="str">
            <v>Status</v>
          </cell>
          <cell r="M169" t="str">
            <v>Next Step</v>
          </cell>
        </row>
        <row r="171">
          <cell r="D171" t="str">
            <v>CD2017-0042,3</v>
          </cell>
          <cell r="E171" t="str">
            <v>Sep-Dec</v>
          </cell>
          <cell r="F171">
            <v>407419599.99999994</v>
          </cell>
          <cell r="G171">
            <v>448161560</v>
          </cell>
          <cell r="H171">
            <v>131162416</v>
          </cell>
          <cell r="I171">
            <v>131162416</v>
          </cell>
          <cell r="J171">
            <v>131162416</v>
          </cell>
          <cell r="K171">
            <v>32294836</v>
          </cell>
          <cell r="L171" t="str">
            <v>Done</v>
          </cell>
          <cell r="M171">
            <v>0</v>
          </cell>
        </row>
        <row r="172">
          <cell r="D172" t="str">
            <v>CD2017-0042,4</v>
          </cell>
          <cell r="E172" t="str">
            <v>Sep-Dec</v>
          </cell>
          <cell r="F172">
            <v>20375520</v>
          </cell>
          <cell r="G172">
            <v>22413072</v>
          </cell>
          <cell r="H172">
            <v>11206536</v>
          </cell>
          <cell r="I172">
            <v>11206536</v>
          </cell>
          <cell r="J172">
            <v>11206536</v>
          </cell>
          <cell r="K172">
            <v>2037552</v>
          </cell>
          <cell r="L172" t="str">
            <v>Done</v>
          </cell>
          <cell r="M172">
            <v>0</v>
          </cell>
        </row>
        <row r="173">
          <cell r="D173" t="str">
            <v>CD2017-0042,5</v>
          </cell>
          <cell r="E173" t="str">
            <v>Jan-Feb</v>
          </cell>
          <cell r="F173">
            <v>20088200</v>
          </cell>
          <cell r="G173">
            <v>22097020</v>
          </cell>
          <cell r="H173">
            <v>22097020</v>
          </cell>
          <cell r="I173">
            <v>22097020</v>
          </cell>
          <cell r="J173">
            <v>22097020</v>
          </cell>
          <cell r="K173">
            <v>2008820</v>
          </cell>
          <cell r="L173" t="str">
            <v>Done</v>
          </cell>
          <cell r="M173">
            <v>0</v>
          </cell>
        </row>
        <row r="174">
          <cell r="D174" t="str">
            <v>CD2018 - 027</v>
          </cell>
          <cell r="E174" t="str">
            <v>Jun-Aug</v>
          </cell>
          <cell r="F174">
            <v>470720250</v>
          </cell>
          <cell r="G174">
            <v>470720250</v>
          </cell>
          <cell r="H174">
            <v>476939650</v>
          </cell>
          <cell r="I174">
            <v>421170750</v>
          </cell>
          <cell r="J174">
            <v>476939650</v>
          </cell>
          <cell r="K174">
            <v>76252138</v>
          </cell>
          <cell r="L174" t="str">
            <v>Done</v>
          </cell>
          <cell r="M174">
            <v>0</v>
          </cell>
        </row>
        <row r="175">
          <cell r="D175" t="str">
            <v>CD2018 - 027, PL1</v>
          </cell>
          <cell r="E175" t="str">
            <v>Jun-Dec</v>
          </cell>
          <cell r="F175">
            <v>50699000</v>
          </cell>
          <cell r="G175">
            <v>55768900</v>
          </cell>
          <cell r="H175">
            <v>55768900</v>
          </cell>
          <cell r="I175">
            <v>55768900</v>
          </cell>
          <cell r="J175">
            <v>0</v>
          </cell>
          <cell r="K175">
            <v>0</v>
          </cell>
          <cell r="L175" t="str">
            <v>- Subcontract liquidated
- Issued invoice 100% payment in W4 Sep</v>
          </cell>
          <cell r="M175" t="str">
            <v>- Client to make payment in W2 Oct</v>
          </cell>
        </row>
        <row r="176">
          <cell r="D176" t="str">
            <v>CD2018 - 027, PL2</v>
          </cell>
          <cell r="E176" t="str">
            <v>Jun-Dec</v>
          </cell>
          <cell r="F176">
            <v>328939875</v>
          </cell>
          <cell r="G176">
            <v>361833863</v>
          </cell>
          <cell r="H176">
            <v>361833863</v>
          </cell>
          <cell r="I176">
            <v>361833863</v>
          </cell>
          <cell r="J176">
            <v>0</v>
          </cell>
          <cell r="K176">
            <v>0</v>
          </cell>
          <cell r="L176" t="str">
            <v>- Subcontract liquidated
- Issued invoice 100% payment in W4 Sep</v>
          </cell>
          <cell r="M176" t="str">
            <v>- Client to make payment in W2 Oct</v>
          </cell>
        </row>
        <row r="177">
          <cell r="D177" t="str">
            <v>CD2018 - 027, PL3</v>
          </cell>
          <cell r="E177" t="str">
            <v>Jun-Dec</v>
          </cell>
          <cell r="F177">
            <v>13661999.999999998</v>
          </cell>
          <cell r="G177">
            <v>15028200</v>
          </cell>
          <cell r="H177">
            <v>15028200</v>
          </cell>
          <cell r="I177">
            <v>0</v>
          </cell>
          <cell r="J177">
            <v>0</v>
          </cell>
          <cell r="K177">
            <v>12150000</v>
          </cell>
          <cell r="L177" t="str">
            <v>- Shared soft copy subcontract in W1 Oct</v>
          </cell>
          <cell r="M177" t="str">
            <v>- Client to sign off subcontract &amp; make 100% paymet in Oct</v>
          </cell>
        </row>
        <row r="178">
          <cell r="G178">
            <v>1396022865</v>
          </cell>
          <cell r="H178">
            <v>1074036585</v>
          </cell>
          <cell r="I178">
            <v>1003239485</v>
          </cell>
          <cell r="J178">
            <v>641405622</v>
          </cell>
          <cell r="K178">
            <v>124743346</v>
          </cell>
        </row>
        <row r="181">
          <cell r="D181" t="str">
            <v>Contract No</v>
          </cell>
          <cell r="E181" t="str">
            <v>Duration</v>
          </cell>
          <cell r="F181" t="str">
            <v>Contract Value
(excl VAT)</v>
          </cell>
          <cell r="G181" t="str">
            <v>Contract Value
(incl VAT)</v>
          </cell>
          <cell r="H181" t="str">
            <v>2018 Revenue</v>
          </cell>
          <cell r="I181" t="str">
            <v>2018 Billed</v>
          </cell>
          <cell r="J181" t="str">
            <v>Received in 2018</v>
          </cell>
          <cell r="K181" t="str">
            <v>3rd party cost</v>
          </cell>
          <cell r="L181" t="str">
            <v>Status</v>
          </cell>
          <cell r="M181" t="str">
            <v>Next Step</v>
          </cell>
        </row>
        <row r="183">
          <cell r="D183" t="str">
            <v>CD2017-0046</v>
          </cell>
          <cell r="E183" t="str">
            <v>Sep - Oct</v>
          </cell>
          <cell r="F183">
            <v>1106171000</v>
          </cell>
          <cell r="G183">
            <v>1216788100</v>
          </cell>
          <cell r="H183">
            <v>448732942</v>
          </cell>
          <cell r="I183">
            <v>448732942</v>
          </cell>
          <cell r="J183">
            <v>448732942</v>
          </cell>
          <cell r="K183">
            <v>339775020.81818181</v>
          </cell>
          <cell r="L183" t="str">
            <v>Done</v>
          </cell>
          <cell r="M183">
            <v>0</v>
          </cell>
        </row>
        <row r="184">
          <cell r="G184">
            <v>1216788100</v>
          </cell>
          <cell r="H184">
            <v>448732942</v>
          </cell>
          <cell r="I184">
            <v>448732942</v>
          </cell>
          <cell r="J184">
            <v>448732942</v>
          </cell>
          <cell r="K184">
            <v>339775020.81818181</v>
          </cell>
        </row>
        <row r="187">
          <cell r="D187">
            <v>13</v>
          </cell>
        </row>
        <row r="188">
          <cell r="D188" t="str">
            <v>Contract No</v>
          </cell>
          <cell r="E188" t="str">
            <v>Duration</v>
          </cell>
          <cell r="F188" t="str">
            <v>Contract Value
(excl VAT)</v>
          </cell>
          <cell r="G188" t="str">
            <v>Contract Value
(incl VAT)</v>
          </cell>
          <cell r="H188" t="str">
            <v>2018 Revenue</v>
          </cell>
          <cell r="I188" t="str">
            <v>2018 Billed</v>
          </cell>
          <cell r="J188" t="str">
            <v>Received in 2018</v>
          </cell>
          <cell r="K188" t="str">
            <v>3rd party cost</v>
          </cell>
          <cell r="L188" t="str">
            <v>Status</v>
          </cell>
          <cell r="M188" t="str">
            <v>Next Step</v>
          </cell>
        </row>
        <row r="190">
          <cell r="D190" t="str">
            <v>CD2017-0053</v>
          </cell>
          <cell r="E190" t="str">
            <v>Oct-Nov</v>
          </cell>
          <cell r="F190">
            <v>159535000</v>
          </cell>
          <cell r="G190">
            <v>175488500</v>
          </cell>
          <cell r="H190">
            <v>547783500</v>
          </cell>
          <cell r="I190">
            <v>547783500</v>
          </cell>
          <cell r="J190">
            <v>547783500</v>
          </cell>
          <cell r="K190">
            <v>365687833</v>
          </cell>
          <cell r="L190" t="str">
            <v>Done</v>
          </cell>
          <cell r="M190">
            <v>0</v>
          </cell>
        </row>
        <row r="191">
          <cell r="D191" t="str">
            <v>CD2017-0053</v>
          </cell>
          <cell r="E191" t="str">
            <v>Oct-Nov</v>
          </cell>
          <cell r="F191">
            <v>536900000</v>
          </cell>
          <cell r="G191">
            <v>590590000</v>
          </cell>
          <cell r="L191" t="str">
            <v>Done</v>
          </cell>
          <cell r="M191">
            <v>0</v>
          </cell>
        </row>
        <row r="192">
          <cell r="D192" t="str">
            <v>CD2017-0053</v>
          </cell>
          <cell r="E192" t="str">
            <v>Nov-Dec</v>
          </cell>
          <cell r="F192">
            <v>64999999.999999993</v>
          </cell>
          <cell r="G192">
            <v>71500000</v>
          </cell>
          <cell r="L192" t="str">
            <v>Done</v>
          </cell>
          <cell r="M192">
            <v>0</v>
          </cell>
        </row>
        <row r="193">
          <cell r="G193">
            <v>837578500</v>
          </cell>
          <cell r="H193">
            <v>547783500</v>
          </cell>
          <cell r="I193">
            <v>547783500</v>
          </cell>
          <cell r="J193">
            <v>547783500</v>
          </cell>
          <cell r="K193">
            <v>365687833</v>
          </cell>
        </row>
        <row r="196">
          <cell r="D196" t="str">
            <v>Contract No</v>
          </cell>
          <cell r="E196" t="str">
            <v>Duration</v>
          </cell>
          <cell r="F196" t="str">
            <v>Contract Value
(excl VAT)</v>
          </cell>
          <cell r="G196" t="str">
            <v>Contract Value
(incl VAT)</v>
          </cell>
          <cell r="H196" t="str">
            <v>2018 Revenue</v>
          </cell>
          <cell r="I196" t="str">
            <v>2018 Billed</v>
          </cell>
          <cell r="J196" t="str">
            <v>Received in 2018</v>
          </cell>
          <cell r="K196" t="str">
            <v>3rd party cost</v>
          </cell>
          <cell r="L196" t="str">
            <v>Status</v>
          </cell>
          <cell r="M196" t="str">
            <v>Next Step</v>
          </cell>
        </row>
        <row r="198">
          <cell r="D198" t="str">
            <v>CD2017-0065</v>
          </cell>
          <cell r="E198" t="str">
            <v>Sep - Oct</v>
          </cell>
          <cell r="F198">
            <v>1101585000</v>
          </cell>
          <cell r="G198">
            <v>1211743500</v>
          </cell>
          <cell r="H198">
            <v>1002812800</v>
          </cell>
          <cell r="I198">
            <v>1002812800</v>
          </cell>
          <cell r="J198">
            <v>1002812800</v>
          </cell>
          <cell r="K198">
            <v>408897022.44444442</v>
          </cell>
          <cell r="L198" t="str">
            <v>Done</v>
          </cell>
          <cell r="M198">
            <v>0</v>
          </cell>
        </row>
        <row r="199">
          <cell r="G199">
            <v>1211743500</v>
          </cell>
          <cell r="H199">
            <v>1002812800</v>
          </cell>
          <cell r="I199">
            <v>1002812800</v>
          </cell>
          <cell r="J199">
            <v>1002812800</v>
          </cell>
          <cell r="K199">
            <v>408897022.44444442</v>
          </cell>
        </row>
        <row r="203">
          <cell r="D203" t="str">
            <v>Contract No</v>
          </cell>
          <cell r="E203" t="str">
            <v>Duration</v>
          </cell>
          <cell r="F203" t="str">
            <v>Contract Value
(excl VAT)</v>
          </cell>
          <cell r="G203" t="str">
            <v>Contract Value
(incl VAT)</v>
          </cell>
          <cell r="H203" t="str">
            <v>2018 Revenue</v>
          </cell>
          <cell r="I203" t="str">
            <v>2018 Billed</v>
          </cell>
          <cell r="J203" t="str">
            <v>Received in 2018</v>
          </cell>
          <cell r="K203" t="str">
            <v>3rd party cost</v>
          </cell>
          <cell r="L203" t="str">
            <v>Status</v>
          </cell>
          <cell r="M203" t="str">
            <v>Next Step</v>
          </cell>
        </row>
        <row r="205">
          <cell r="D205" t="str">
            <v>CD2017-0072</v>
          </cell>
          <cell r="E205" t="str">
            <v>Dec 2017 - Apr 2018</v>
          </cell>
          <cell r="F205">
            <v>2814452500</v>
          </cell>
          <cell r="G205">
            <v>3095897750.0000005</v>
          </cell>
          <cell r="H205">
            <v>1547948875</v>
          </cell>
          <cell r="I205">
            <v>1547948875</v>
          </cell>
          <cell r="J205">
            <v>1547948875</v>
          </cell>
          <cell r="K205">
            <v>2120293375</v>
          </cell>
          <cell r="L205" t="str">
            <v>Done</v>
          </cell>
          <cell r="M205">
            <v>0</v>
          </cell>
        </row>
        <row r="206">
          <cell r="D206" t="str">
            <v>Carnival2</v>
          </cell>
          <cell r="E206" t="str">
            <v>Jun 2018 - Dec 2018</v>
          </cell>
          <cell r="F206">
            <v>4000000000</v>
          </cell>
          <cell r="G206">
            <v>4400000000</v>
          </cell>
          <cell r="H206">
            <v>4400000000</v>
          </cell>
          <cell r="I206">
            <v>2640000000</v>
          </cell>
          <cell r="J206">
            <v>880000000</v>
          </cell>
          <cell r="K206">
            <v>3290716522</v>
          </cell>
          <cell r="L206" t="str">
            <v>Received 2nd payment in W2 Nov</v>
          </cell>
          <cell r="M206" t="str">
            <v>Issue last invoice 40% - W1 Jan 2019</v>
          </cell>
        </row>
        <row r="207">
          <cell r="D207" t="str">
            <v>Carnival1</v>
          </cell>
          <cell r="E207" t="str">
            <v>June 2018</v>
          </cell>
          <cell r="F207">
            <v>2085295000</v>
          </cell>
          <cell r="G207">
            <v>2293824500</v>
          </cell>
          <cell r="H207">
            <v>2293824500</v>
          </cell>
          <cell r="I207">
            <v>2293824500</v>
          </cell>
          <cell r="J207">
            <v>2293824500</v>
          </cell>
          <cell r="K207">
            <v>1726780000</v>
          </cell>
          <cell r="L207" t="str">
            <v>Done</v>
          </cell>
          <cell r="M207">
            <v>0</v>
          </cell>
        </row>
        <row r="208">
          <cell r="G208">
            <v>9789722250</v>
          </cell>
          <cell r="H208">
            <v>8241773375</v>
          </cell>
          <cell r="I208">
            <v>6481773375</v>
          </cell>
          <cell r="J208">
            <v>4721773375</v>
          </cell>
          <cell r="K208">
            <v>7137789897</v>
          </cell>
        </row>
        <row r="211">
          <cell r="D211" t="str">
            <v>Job No</v>
          </cell>
          <cell r="E211" t="str">
            <v>Month</v>
          </cell>
          <cell r="F211" t="str">
            <v>Contract Value
(excl VAT)</v>
          </cell>
          <cell r="G211" t="str">
            <v>Contract Value
(incl VAT)</v>
          </cell>
          <cell r="H211" t="str">
            <v>2018 Revenue</v>
          </cell>
          <cell r="I211" t="str">
            <v>2018 Billed</v>
          </cell>
          <cell r="J211" t="str">
            <v>Received in 2018</v>
          </cell>
          <cell r="K211" t="str">
            <v>3rd party cost</v>
          </cell>
          <cell r="L211" t="str">
            <v>Status</v>
          </cell>
          <cell r="M211" t="str">
            <v>Next Step</v>
          </cell>
        </row>
        <row r="213">
          <cell r="D213" t="str">
            <v>CD2017-0073</v>
          </cell>
          <cell r="E213" t="str">
            <v>Jan - Feb</v>
          </cell>
          <cell r="F213">
            <v>247693050</v>
          </cell>
          <cell r="G213">
            <v>275214500</v>
          </cell>
          <cell r="H213">
            <v>165128700</v>
          </cell>
          <cell r="I213">
            <v>165128700</v>
          </cell>
          <cell r="J213">
            <v>55042900</v>
          </cell>
          <cell r="K213">
            <v>25019500</v>
          </cell>
          <cell r="L213" t="str">
            <v>- Issued invoice 100% payment already</v>
          </cell>
          <cell r="M213" t="str">
            <v>- Chase client to make payment in Nov</v>
          </cell>
        </row>
        <row r="214">
          <cell r="D214" t="str">
            <v xml:space="preserve">CD2018-015 </v>
          </cell>
          <cell r="E214" t="str">
            <v>Apr  - May</v>
          </cell>
          <cell r="F214">
            <v>50599999.999999993</v>
          </cell>
          <cell r="G214">
            <v>55660000</v>
          </cell>
          <cell r="H214">
            <v>55660000</v>
          </cell>
          <cell r="I214">
            <v>0</v>
          </cell>
          <cell r="J214">
            <v>0</v>
          </cell>
          <cell r="K214">
            <v>127742125</v>
          </cell>
          <cell r="L214" t="str">
            <v xml:space="preserve">- Chase client confirm liquidation </v>
          </cell>
          <cell r="M214" t="str">
            <v>- Release invoice to receive full payment in Nov</v>
          </cell>
        </row>
        <row r="215">
          <cell r="D215" t="str">
            <v xml:space="preserve">CD2018-016 </v>
          </cell>
          <cell r="E215" t="str">
            <v>Mar - Jul</v>
          </cell>
          <cell r="F215">
            <v>2898798100</v>
          </cell>
          <cell r="G215">
            <v>2898798100</v>
          </cell>
          <cell r="H215">
            <v>1594338955</v>
          </cell>
          <cell r="I215">
            <v>2029158670</v>
          </cell>
          <cell r="J215">
            <v>1159519240</v>
          </cell>
          <cell r="K215">
            <v>1021868000</v>
          </cell>
          <cell r="L215" t="str">
            <v xml:space="preserve">- Issued invoice 2nd payment already
'- Awaiting for client's confirm to recall invoice </v>
          </cell>
          <cell r="M215" t="str">
            <v>- Share liquidation &amp; recall invoice</v>
          </cell>
        </row>
        <row r="216">
          <cell r="G216">
            <v>3229672600</v>
          </cell>
          <cell r="H216">
            <v>1815127655</v>
          </cell>
          <cell r="I216">
            <v>2194287370</v>
          </cell>
          <cell r="J216">
            <v>1214562140</v>
          </cell>
          <cell r="K216">
            <v>1174629625</v>
          </cell>
        </row>
        <row r="219">
          <cell r="D219" t="str">
            <v>Contract No</v>
          </cell>
          <cell r="E219" t="str">
            <v>Duration</v>
          </cell>
          <cell r="F219" t="str">
            <v>Contract Value
(excl VAT)</v>
          </cell>
          <cell r="G219" t="str">
            <v>Contract Value
(incl VAT)</v>
          </cell>
          <cell r="H219" t="str">
            <v>2018 Revenue</v>
          </cell>
          <cell r="I219" t="str">
            <v>2018 Billed</v>
          </cell>
          <cell r="J219" t="str">
            <v>Received in 2018</v>
          </cell>
          <cell r="K219" t="str">
            <v>3rd party cost</v>
          </cell>
          <cell r="L219" t="str">
            <v>Status</v>
          </cell>
          <cell r="M219" t="str">
            <v>Next Step</v>
          </cell>
        </row>
        <row r="221">
          <cell r="D221" t="str">
            <v xml:space="preserve">CD2018-014 </v>
          </cell>
          <cell r="E221" t="str">
            <v>May - Aug 2018</v>
          </cell>
          <cell r="F221">
            <v>714315688</v>
          </cell>
          <cell r="G221">
            <v>785747256.80000007</v>
          </cell>
          <cell r="H221">
            <v>785747257</v>
          </cell>
          <cell r="I221">
            <v>550023080</v>
          </cell>
          <cell r="J221">
            <v>550023079.89999998</v>
          </cell>
          <cell r="K221">
            <v>362853249</v>
          </cell>
          <cell r="L221" t="str">
            <v>Issue last invoice in W2-Nov</v>
          </cell>
          <cell r="M221" t="str">
            <v>Receive last payment in W4-Nov</v>
          </cell>
        </row>
        <row r="222">
          <cell r="D222" t="str">
            <v>CD2018 - 026</v>
          </cell>
          <cell r="E222" t="str">
            <v>1 Jun - 4 July</v>
          </cell>
          <cell r="F222">
            <v>436786763</v>
          </cell>
          <cell r="G222">
            <v>436786763</v>
          </cell>
          <cell r="H222">
            <v>436786763</v>
          </cell>
          <cell r="I222">
            <v>436786763</v>
          </cell>
          <cell r="J222">
            <v>436786763</v>
          </cell>
          <cell r="K222">
            <v>334599464.5454545</v>
          </cell>
          <cell r="L222" t="str">
            <v>Done</v>
          </cell>
          <cell r="M222">
            <v>0</v>
          </cell>
        </row>
        <row r="223">
          <cell r="D223" t="str">
            <v>CD2018 - 034</v>
          </cell>
          <cell r="E223" t="str">
            <v>10 Jul - 18 Jul</v>
          </cell>
          <cell r="F223">
            <v>183557944</v>
          </cell>
          <cell r="G223">
            <v>201913738.40000001</v>
          </cell>
          <cell r="H223">
            <v>201913738.40000001</v>
          </cell>
          <cell r="I223">
            <v>201913739</v>
          </cell>
          <cell r="J223">
            <v>201913738.40000001</v>
          </cell>
          <cell r="K223">
            <v>189866266.12727273</v>
          </cell>
          <cell r="L223" t="str">
            <v>Done</v>
          </cell>
          <cell r="M223">
            <v>0</v>
          </cell>
        </row>
        <row r="224">
          <cell r="D224" t="str">
            <v>CD2018 - 047</v>
          </cell>
          <cell r="E224" t="str">
            <v>Sep - Dec18</v>
          </cell>
          <cell r="F224">
            <v>172960000</v>
          </cell>
          <cell r="G224">
            <v>190256000</v>
          </cell>
          <cell r="H224">
            <v>190256000</v>
          </cell>
          <cell r="I224">
            <v>95128000</v>
          </cell>
          <cell r="J224">
            <v>95128000</v>
          </cell>
          <cell r="K224">
            <v>150000000</v>
          </cell>
          <cell r="L224" t="str">
            <v>Issue last invoice in W2-Nov</v>
          </cell>
          <cell r="M224" t="str">
            <v>Receive last payment in W4-Nov</v>
          </cell>
        </row>
        <row r="225">
          <cell r="D225" t="str">
            <v>CD2018 - 045</v>
          </cell>
          <cell r="E225" t="str">
            <v>Oct  2018 - Jan 2019</v>
          </cell>
          <cell r="F225">
            <v>165802000</v>
          </cell>
          <cell r="G225">
            <v>182382200</v>
          </cell>
          <cell r="H225">
            <v>182382200</v>
          </cell>
          <cell r="I225">
            <v>36476440</v>
          </cell>
          <cell r="J225">
            <v>36476440</v>
          </cell>
          <cell r="K225">
            <v>33000000</v>
          </cell>
          <cell r="L225" t="str">
            <v>Issue 2nd invoice 40% in W2-Nov</v>
          </cell>
          <cell r="M225" t="str">
            <v>Receive last payment in W4-Nov
=&gt; Issue last invoice 40% in W4-Jan 2019</v>
          </cell>
        </row>
        <row r="226">
          <cell r="D226" t="str">
            <v>CD2018 - 050</v>
          </cell>
          <cell r="E226" t="str">
            <v>Oct - Nov 2018</v>
          </cell>
          <cell r="F226">
            <v>551325000</v>
          </cell>
          <cell r="G226">
            <v>606457500</v>
          </cell>
          <cell r="H226">
            <v>606457500</v>
          </cell>
          <cell r="I226">
            <v>242583000</v>
          </cell>
          <cell r="J226">
            <v>242583000</v>
          </cell>
          <cell r="K226">
            <v>517132500</v>
          </cell>
          <cell r="L226" t="str">
            <v>Issue last invoice in W2-Nov</v>
          </cell>
          <cell r="M226" t="str">
            <v>Receive last payment in W4-Nov</v>
          </cell>
        </row>
        <row r="227">
          <cell r="G227">
            <v>2403543458.2000003</v>
          </cell>
          <cell r="H227">
            <v>2403543458.4000001</v>
          </cell>
          <cell r="I227">
            <v>1562911022</v>
          </cell>
          <cell r="J227">
            <v>1562911021.3</v>
          </cell>
          <cell r="K227">
            <v>1587451479.6727271</v>
          </cell>
        </row>
        <row r="230">
          <cell r="D230" t="str">
            <v>Contract No</v>
          </cell>
          <cell r="E230" t="str">
            <v>Duration</v>
          </cell>
          <cell r="F230" t="str">
            <v>Contract Value
(excl VAT)</v>
          </cell>
          <cell r="G230" t="str">
            <v>Contract Value
(incl VAT)</v>
          </cell>
          <cell r="H230" t="str">
            <v>2018 Revenue</v>
          </cell>
          <cell r="I230" t="str">
            <v>2018 Billed</v>
          </cell>
          <cell r="J230" t="str">
            <v>Received in 2018</v>
          </cell>
          <cell r="K230" t="str">
            <v>3rd party cost</v>
          </cell>
          <cell r="L230" t="str">
            <v>Status</v>
          </cell>
          <cell r="M230" t="str">
            <v>Next Step</v>
          </cell>
        </row>
        <row r="232">
          <cell r="D232" t="str">
            <v xml:space="preserve">CD2018-017 </v>
          </cell>
          <cell r="E232" t="str">
            <v>Apr-May 2018</v>
          </cell>
          <cell r="F232">
            <v>220800728</v>
          </cell>
          <cell r="G232">
            <v>242880800.80000001</v>
          </cell>
          <cell r="H232">
            <v>242880801</v>
          </cell>
          <cell r="I232">
            <v>177935021</v>
          </cell>
          <cell r="J232">
            <v>170728480.30000001</v>
          </cell>
          <cell r="K232">
            <v>105541002.6666667</v>
          </cell>
          <cell r="L232" t="str">
            <v>Receive last payment in W4 Nov</v>
          </cell>
          <cell r="M232">
            <v>0</v>
          </cell>
        </row>
        <row r="233">
          <cell r="D233" t="str">
            <v xml:space="preserve">CD2018-020 </v>
          </cell>
          <cell r="E233" t="str">
            <v>May-June 2018</v>
          </cell>
          <cell r="F233">
            <v>180000000</v>
          </cell>
          <cell r="G233">
            <v>198000000.00000003</v>
          </cell>
          <cell r="H233">
            <v>198000000</v>
          </cell>
          <cell r="I233">
            <v>177564279</v>
          </cell>
          <cell r="J233">
            <v>99000000</v>
          </cell>
          <cell r="K233">
            <v>215334654.55555555</v>
          </cell>
          <cell r="L233" t="str">
            <v>Receive last payment in W4 Nov</v>
          </cell>
          <cell r="M233">
            <v>0</v>
          </cell>
        </row>
        <row r="234">
          <cell r="G234">
            <v>440880800.80000007</v>
          </cell>
          <cell r="H234">
            <v>440880801</v>
          </cell>
          <cell r="I234">
            <v>355499300</v>
          </cell>
          <cell r="J234">
            <v>269728480.30000001</v>
          </cell>
          <cell r="K234">
            <v>320875657.22222227</v>
          </cell>
        </row>
        <row r="237">
          <cell r="D237" t="str">
            <v>Contract No</v>
          </cell>
          <cell r="E237" t="str">
            <v>Duration</v>
          </cell>
          <cell r="F237" t="str">
            <v>Contract Value
(excl VAT)</v>
          </cell>
          <cell r="G237" t="str">
            <v>Contract Value
(incl VAT)</v>
          </cell>
          <cell r="H237" t="str">
            <v>2018 Revenue</v>
          </cell>
          <cell r="I237" t="str">
            <v>2018 Billed</v>
          </cell>
          <cell r="J237" t="str">
            <v>Received in 2018</v>
          </cell>
          <cell r="K237" t="str">
            <v>3rd party cost</v>
          </cell>
          <cell r="L237" t="str">
            <v>Status</v>
          </cell>
          <cell r="M237" t="str">
            <v>Next Step</v>
          </cell>
        </row>
        <row r="239">
          <cell r="D239" t="str">
            <v xml:space="preserve">CD2018-013 </v>
          </cell>
          <cell r="E239" t="str">
            <v>Apr - May</v>
          </cell>
          <cell r="F239">
            <v>617261827</v>
          </cell>
          <cell r="G239">
            <v>678988009.70000005</v>
          </cell>
          <cell r="H239">
            <v>397555564.99999994</v>
          </cell>
          <cell r="I239">
            <v>348658010</v>
          </cell>
          <cell r="J239">
            <v>348658010</v>
          </cell>
          <cell r="K239">
            <v>297881183</v>
          </cell>
          <cell r="L239" t="str">
            <v>- Done</v>
          </cell>
          <cell r="M239">
            <v>0</v>
          </cell>
        </row>
        <row r="240">
          <cell r="G240">
            <v>678988009.70000005</v>
          </cell>
          <cell r="H240">
            <v>397555564.99999994</v>
          </cell>
          <cell r="I240">
            <v>348658010</v>
          </cell>
          <cell r="J240">
            <v>348658010</v>
          </cell>
          <cell r="K240">
            <v>297881183</v>
          </cell>
        </row>
        <row r="244">
          <cell r="D244" t="str">
            <v>Contract No</v>
          </cell>
          <cell r="E244" t="str">
            <v>Duration</v>
          </cell>
          <cell r="F244" t="str">
            <v>Contract Value
(excl VAT)</v>
          </cell>
          <cell r="G244" t="str">
            <v>Contract Value
(incl VAT)</v>
          </cell>
          <cell r="H244" t="str">
            <v>2018 Revenue</v>
          </cell>
          <cell r="I244" t="str">
            <v>2018 Billed</v>
          </cell>
          <cell r="J244" t="str">
            <v>Received in 2018</v>
          </cell>
          <cell r="K244" t="str">
            <v>3rd party cost</v>
          </cell>
          <cell r="L244" t="str">
            <v>Status</v>
          </cell>
          <cell r="M244" t="str">
            <v>Next Step</v>
          </cell>
        </row>
        <row r="246">
          <cell r="D246" t="str">
            <v>CD2018 - 028</v>
          </cell>
          <cell r="E246" t="str">
            <v>May - Jul18</v>
          </cell>
          <cell r="F246">
            <v>744205439.99999988</v>
          </cell>
          <cell r="G246">
            <v>818625984</v>
          </cell>
          <cell r="H246">
            <v>818625984</v>
          </cell>
          <cell r="I246">
            <v>245587795</v>
          </cell>
          <cell r="J246">
            <v>245587795</v>
          </cell>
          <cell r="K246">
            <v>696545436</v>
          </cell>
          <cell r="L246" t="str">
            <v>Issue last invoice in W2-Nov</v>
          </cell>
          <cell r="M246" t="str">
            <v>Receive last payment in W2-Dec</v>
          </cell>
        </row>
        <row r="247">
          <cell r="G247">
            <v>818625984</v>
          </cell>
          <cell r="H247">
            <v>818625984</v>
          </cell>
          <cell r="I247">
            <v>245587795</v>
          </cell>
          <cell r="J247">
            <v>245587795</v>
          </cell>
          <cell r="K247">
            <v>696545436</v>
          </cell>
        </row>
        <row r="250">
          <cell r="D250" t="str">
            <v>Contract No</v>
          </cell>
          <cell r="E250" t="str">
            <v>Duration</v>
          </cell>
          <cell r="F250" t="str">
            <v>Contract Value
(excl VAT)</v>
          </cell>
          <cell r="G250" t="str">
            <v>Contract Value
(incl VAT)</v>
          </cell>
          <cell r="H250" t="str">
            <v>2018 Revenue</v>
          </cell>
          <cell r="I250" t="str">
            <v>2018 Billed</v>
          </cell>
          <cell r="J250" t="str">
            <v>Received in 2018</v>
          </cell>
          <cell r="K250" t="str">
            <v>3rd party cost</v>
          </cell>
          <cell r="L250" t="str">
            <v>Status</v>
          </cell>
          <cell r="M250" t="str">
            <v>Next Step</v>
          </cell>
        </row>
        <row r="252">
          <cell r="D252" t="str">
            <v>CD2018 - 036</v>
          </cell>
          <cell r="E252" t="str">
            <v>Aug</v>
          </cell>
          <cell r="F252">
            <v>36363636.36363636</v>
          </cell>
          <cell r="G252">
            <v>40000000</v>
          </cell>
          <cell r="H252">
            <v>40000000</v>
          </cell>
          <cell r="I252">
            <v>40000000</v>
          </cell>
          <cell r="J252">
            <v>0</v>
          </cell>
          <cell r="K252">
            <v>0</v>
          </cell>
          <cell r="L252" t="str">
            <v>Receive payment in W2 Nov</v>
          </cell>
          <cell r="M252">
            <v>0</v>
          </cell>
        </row>
        <row r="253">
          <cell r="F253">
            <v>36363636.36363636</v>
          </cell>
          <cell r="G253">
            <v>40000000</v>
          </cell>
          <cell r="H253">
            <v>40000000</v>
          </cell>
          <cell r="I253">
            <v>40000000</v>
          </cell>
          <cell r="J253">
            <v>0</v>
          </cell>
          <cell r="K253">
            <v>0</v>
          </cell>
        </row>
        <row r="256">
          <cell r="D256" t="str">
            <v>Contract No</v>
          </cell>
          <cell r="E256" t="str">
            <v>Duration</v>
          </cell>
          <cell r="F256" t="str">
            <v>Contract Value
(excl VAT)</v>
          </cell>
          <cell r="G256" t="str">
            <v>Contract Value
(incl VAT)</v>
          </cell>
          <cell r="H256" t="str">
            <v>2018 Revenue</v>
          </cell>
          <cell r="I256" t="str">
            <v>2018 Billed</v>
          </cell>
          <cell r="J256" t="str">
            <v>Received in 2018</v>
          </cell>
          <cell r="K256" t="str">
            <v>3rd party cost</v>
          </cell>
          <cell r="L256" t="str">
            <v>Status</v>
          </cell>
          <cell r="M256" t="str">
            <v>Next Step</v>
          </cell>
        </row>
        <row r="258">
          <cell r="D258" t="str">
            <v>CD2018 - 038</v>
          </cell>
          <cell r="E258" t="str">
            <v>Aug</v>
          </cell>
          <cell r="F258">
            <v>871200000</v>
          </cell>
          <cell r="G258">
            <v>958320000.00000012</v>
          </cell>
          <cell r="H258">
            <v>958320000.00000012</v>
          </cell>
          <cell r="I258">
            <v>958320000</v>
          </cell>
          <cell r="J258">
            <v>0</v>
          </cell>
          <cell r="K258">
            <v>647263889</v>
          </cell>
          <cell r="L258" t="str">
            <v>- Invoice release on 5-Oct</v>
          </cell>
          <cell r="M258" t="str">
            <v>- Await full payment on 5-Nov</v>
          </cell>
        </row>
        <row r="259">
          <cell r="G259">
            <v>958320000.00000012</v>
          </cell>
          <cell r="H259">
            <v>958320000.00000012</v>
          </cell>
          <cell r="I259">
            <v>958320000</v>
          </cell>
          <cell r="J259">
            <v>0</v>
          </cell>
          <cell r="K259">
            <v>647263889</v>
          </cell>
        </row>
        <row r="262">
          <cell r="D262" t="str">
            <v>Contract No</v>
          </cell>
          <cell r="E262" t="str">
            <v>Duration</v>
          </cell>
          <cell r="F262" t="str">
            <v>Contract Value
(excl VAT)</v>
          </cell>
          <cell r="G262" t="str">
            <v>Contract Value
(incl VAT)</v>
          </cell>
          <cell r="H262" t="str">
            <v>2018 Revenue</v>
          </cell>
          <cell r="I262" t="str">
            <v>2018 Billed</v>
          </cell>
          <cell r="J262" t="str">
            <v>Received in 2018</v>
          </cell>
          <cell r="K262" t="str">
            <v>3rd party cost</v>
          </cell>
          <cell r="L262" t="str">
            <v>Status</v>
          </cell>
          <cell r="M262" t="str">
            <v>Next Step</v>
          </cell>
        </row>
        <row r="264">
          <cell r="D264" t="str">
            <v>CD2018 - 043</v>
          </cell>
          <cell r="E264" t="str">
            <v>Sep</v>
          </cell>
          <cell r="F264">
            <v>1510319541.8181818</v>
          </cell>
          <cell r="G264">
            <v>1661351496</v>
          </cell>
          <cell r="H264">
            <v>1661351496</v>
          </cell>
          <cell r="I264">
            <v>830675748</v>
          </cell>
          <cell r="J264">
            <v>830675748</v>
          </cell>
          <cell r="K264">
            <v>1299270604.181818</v>
          </cell>
          <cell r="L264" t="str">
            <v>Received 1st payment</v>
          </cell>
          <cell r="M264" t="str">
            <v>Liquidate &amp; issue 2nd invoice in W1 Nov</v>
          </cell>
        </row>
        <row r="265">
          <cell r="D265" t="str">
            <v>CD2018 - 052</v>
          </cell>
          <cell r="E265" t="str">
            <v>Sep - Dec 2018</v>
          </cell>
          <cell r="F265">
            <v>1049999999.9999999</v>
          </cell>
          <cell r="G265">
            <v>1155000000</v>
          </cell>
          <cell r="H265">
            <v>1155000000</v>
          </cell>
          <cell r="I265">
            <v>0</v>
          </cell>
          <cell r="K265">
            <v>797733750</v>
          </cell>
          <cell r="L265" t="str">
            <v>Receive 1st payment 40% in W2 Nov</v>
          </cell>
          <cell r="M265" t="str">
            <v>Issue 2nd invoice 40% in W2 Dec =&gt; Receive in W1 Nov
Issue last invoice 20% in W1 Jan =&gt; Receive in W1 Feb 2019</v>
          </cell>
        </row>
        <row r="266">
          <cell r="G266">
            <v>2816351496</v>
          </cell>
          <cell r="H266">
            <v>2816351496</v>
          </cell>
          <cell r="I266">
            <v>830675748</v>
          </cell>
          <cell r="J266">
            <v>830675748</v>
          </cell>
          <cell r="K266">
            <v>2097004354.181818</v>
          </cell>
        </row>
        <row r="269">
          <cell r="D269" t="str">
            <v>Contract No</v>
          </cell>
          <cell r="E269" t="str">
            <v>Duration</v>
          </cell>
          <cell r="F269" t="str">
            <v>Contract Value
(excl VAT)</v>
          </cell>
          <cell r="G269" t="str">
            <v>Contract Value
(incl VAT)</v>
          </cell>
          <cell r="H269" t="str">
            <v>2018 Revenue</v>
          </cell>
          <cell r="I269" t="str">
            <v>2018 Billed</v>
          </cell>
          <cell r="J269" t="str">
            <v>Received in 2018</v>
          </cell>
          <cell r="K269" t="str">
            <v>3rd party cost</v>
          </cell>
          <cell r="L269" t="str">
            <v>Status</v>
          </cell>
          <cell r="M269" t="str">
            <v>Next Step</v>
          </cell>
        </row>
        <row r="271">
          <cell r="D271" t="str">
            <v>CD2018 - 042</v>
          </cell>
          <cell r="E271" t="str">
            <v>Aug</v>
          </cell>
          <cell r="F271">
            <v>316868750</v>
          </cell>
          <cell r="G271">
            <v>348555625</v>
          </cell>
          <cell r="H271">
            <v>348555625</v>
          </cell>
          <cell r="I271">
            <v>174277813</v>
          </cell>
          <cell r="J271">
            <v>174277812</v>
          </cell>
          <cell r="K271">
            <v>33086875</v>
          </cell>
          <cell r="L271" t="str">
            <v>- Proceeding Liquidation</v>
          </cell>
          <cell r="M271" t="str">
            <v>- Chase confirmation on Liquidation
- Invoice release &amp; chase payment (30 days)</v>
          </cell>
        </row>
        <row r="272">
          <cell r="G272">
            <v>348555625</v>
          </cell>
          <cell r="H272">
            <v>348555625</v>
          </cell>
          <cell r="I272">
            <v>174277813</v>
          </cell>
          <cell r="J272">
            <v>174277812</v>
          </cell>
          <cell r="K272">
            <v>33086875</v>
          </cell>
        </row>
        <row r="275">
          <cell r="D275" t="str">
            <v>Job No</v>
          </cell>
          <cell r="E275" t="str">
            <v>Month</v>
          </cell>
          <cell r="F275" t="str">
            <v>Contract Value
(excl VAT)</v>
          </cell>
          <cell r="G275" t="str">
            <v>Contract Value
(incl VAT)</v>
          </cell>
          <cell r="H275" t="str">
            <v>2018 Revenue</v>
          </cell>
          <cell r="I275" t="str">
            <v>2018 Billed</v>
          </cell>
          <cell r="J275" t="str">
            <v>Received in 2018</v>
          </cell>
          <cell r="K275" t="str">
            <v>3rd party cost</v>
          </cell>
          <cell r="L275" t="str">
            <v>Status</v>
          </cell>
          <cell r="M275" t="str">
            <v>Next Step</v>
          </cell>
        </row>
        <row r="277">
          <cell r="D277" t="str">
            <v>Carnival3</v>
          </cell>
          <cell r="E277" t="str">
            <v>Aug - Nov</v>
          </cell>
          <cell r="F277">
            <v>1191395660</v>
          </cell>
          <cell r="G277">
            <v>1310535226</v>
          </cell>
          <cell r="H277">
            <v>1310535226</v>
          </cell>
          <cell r="I277">
            <v>0</v>
          </cell>
          <cell r="J277">
            <v>0</v>
          </cell>
          <cell r="K277">
            <v>0</v>
          </cell>
          <cell r="L277" t="str">
            <v>- Issue invoice and sent GR already</v>
          </cell>
          <cell r="M277" t="str">
            <v>- Client to make payment in Dec</v>
          </cell>
        </row>
        <row r="278">
          <cell r="D278" t="str">
            <v>Carnival4</v>
          </cell>
          <cell r="E278" t="str">
            <v>Sep - Nov</v>
          </cell>
          <cell r="F278">
            <v>1897906999.9999998</v>
          </cell>
          <cell r="G278">
            <v>2087697700</v>
          </cell>
          <cell r="H278">
            <v>2087697700</v>
          </cell>
          <cell r="I278">
            <v>3398232926</v>
          </cell>
          <cell r="J278">
            <v>0</v>
          </cell>
          <cell r="K278">
            <v>1877650000</v>
          </cell>
          <cell r="L278" t="str">
            <v>- Issue invoice and sent GR already</v>
          </cell>
          <cell r="M278" t="str">
            <v>- Client to make payment in Dec</v>
          </cell>
        </row>
        <row r="279">
          <cell r="D279" t="str">
            <v>Carnival6</v>
          </cell>
          <cell r="E279" t="str">
            <v>Sep - Nov</v>
          </cell>
          <cell r="F279">
            <v>371384500</v>
          </cell>
          <cell r="G279">
            <v>408522950.00000006</v>
          </cell>
          <cell r="H279">
            <v>408522950.00000006</v>
          </cell>
          <cell r="L279" t="str">
            <v>- Share extra CE to client already
- Awaiting for client to provide PO</v>
          </cell>
          <cell r="M279" t="str">
            <v>- Share liquidation &amp; issue invoice</v>
          </cell>
        </row>
        <row r="280">
          <cell r="D280" t="str">
            <v>Carnival5</v>
          </cell>
          <cell r="E280" t="str">
            <v>Sep</v>
          </cell>
          <cell r="F280">
            <v>63249999.999999993</v>
          </cell>
          <cell r="G280">
            <v>69575000</v>
          </cell>
          <cell r="H280">
            <v>69575000</v>
          </cell>
          <cell r="I280">
            <v>0</v>
          </cell>
          <cell r="J280">
            <v>0</v>
          </cell>
          <cell r="K280">
            <v>0</v>
          </cell>
          <cell r="L280" t="str">
            <v>- Awaiting for client to provide PO</v>
          </cell>
          <cell r="M280" t="str">
            <v>- Share liquidation &amp; issue invoice</v>
          </cell>
        </row>
        <row r="281">
          <cell r="G281">
            <v>3876330876</v>
          </cell>
          <cell r="H281">
            <v>3876330876</v>
          </cell>
          <cell r="I281">
            <v>3398232926</v>
          </cell>
          <cell r="J281">
            <v>0</v>
          </cell>
          <cell r="K281">
            <v>1877650000</v>
          </cell>
        </row>
        <row r="284">
          <cell r="D284" t="str">
            <v>Contract No</v>
          </cell>
          <cell r="E284" t="str">
            <v>Duration</v>
          </cell>
          <cell r="F284" t="str">
            <v>Contract Value
(excl VAT)</v>
          </cell>
          <cell r="G284" t="str">
            <v>Contract Value
(incl VAT)</v>
          </cell>
          <cell r="H284" t="str">
            <v>2018 Revenue</v>
          </cell>
          <cell r="I284" t="str">
            <v>2018 Billed</v>
          </cell>
          <cell r="J284" t="str">
            <v>Received in 2018</v>
          </cell>
          <cell r="K284" t="str">
            <v>3rd party cost</v>
          </cell>
          <cell r="L284" t="str">
            <v>Status</v>
          </cell>
          <cell r="M284" t="str">
            <v>Next Step</v>
          </cell>
        </row>
        <row r="286">
          <cell r="D286" t="str">
            <v>CE2018-024</v>
          </cell>
          <cell r="E286" t="str">
            <v>Oct - Nov</v>
          </cell>
          <cell r="F286">
            <v>1519844499.9999998</v>
          </cell>
          <cell r="G286">
            <v>1671828950</v>
          </cell>
          <cell r="H286">
            <v>1671828950</v>
          </cell>
          <cell r="I286">
            <v>835914475</v>
          </cell>
          <cell r="J286">
            <v>835914475</v>
          </cell>
          <cell r="K286">
            <v>545905000</v>
          </cell>
          <cell r="L286" t="str">
            <v>- 1st payment received in 1-Nov</v>
          </cell>
          <cell r="M286">
            <v>0</v>
          </cell>
        </row>
        <row r="287">
          <cell r="G287">
            <v>1671828950</v>
          </cell>
          <cell r="H287">
            <v>1671828950</v>
          </cell>
          <cell r="I287">
            <v>835914475</v>
          </cell>
          <cell r="J287">
            <v>835914475</v>
          </cell>
          <cell r="K287">
            <v>545905000</v>
          </cell>
        </row>
        <row r="290">
          <cell r="D290" t="str">
            <v>Contract No</v>
          </cell>
          <cell r="E290" t="str">
            <v>Duration</v>
          </cell>
          <cell r="F290" t="str">
            <v>Contract Value
(excl VAT)</v>
          </cell>
          <cell r="G290" t="str">
            <v>Contract Value
(incl VAT)</v>
          </cell>
          <cell r="H290" t="str">
            <v>2018 Revenue</v>
          </cell>
          <cell r="I290" t="str">
            <v>2018 Billed</v>
          </cell>
          <cell r="J290" t="str">
            <v>Received in 2018</v>
          </cell>
          <cell r="K290" t="str">
            <v>3rd party cost</v>
          </cell>
          <cell r="L290" t="str">
            <v>Status</v>
          </cell>
          <cell r="M290" t="str">
            <v>Next Step</v>
          </cell>
        </row>
        <row r="292">
          <cell r="D292" t="str">
            <v>CD2018 - 035'</v>
          </cell>
          <cell r="E292" t="str">
            <v>Aug</v>
          </cell>
          <cell r="F292">
            <v>253000000</v>
          </cell>
          <cell r="G292">
            <v>278300000</v>
          </cell>
          <cell r="H292">
            <v>278300000</v>
          </cell>
          <cell r="I292">
            <v>139150000</v>
          </cell>
          <cell r="J292">
            <v>30000000</v>
          </cell>
          <cell r="K292">
            <v>12650000</v>
          </cell>
          <cell r="L292" t="str">
            <v>- Await remained payment</v>
          </cell>
          <cell r="M292" t="str">
            <v>- Chase payment: Before year-end</v>
          </cell>
        </row>
        <row r="293">
          <cell r="G293">
            <v>278300000</v>
          </cell>
          <cell r="H293">
            <v>278300000</v>
          </cell>
          <cell r="I293">
            <v>139150000</v>
          </cell>
          <cell r="J293">
            <v>30000000</v>
          </cell>
          <cell r="K293">
            <v>12650000</v>
          </cell>
        </row>
        <row r="296">
          <cell r="D296" t="str">
            <v>Contract No</v>
          </cell>
          <cell r="E296" t="str">
            <v>Duration</v>
          </cell>
          <cell r="F296" t="str">
            <v>Contract Value
(excl VAT)</v>
          </cell>
          <cell r="G296" t="str">
            <v>Contract Value
(incl VAT)</v>
          </cell>
          <cell r="H296" t="str">
            <v>2018 Revenue</v>
          </cell>
          <cell r="I296" t="str">
            <v>2018 Billed</v>
          </cell>
          <cell r="J296" t="str">
            <v>Received in 2018</v>
          </cell>
          <cell r="K296" t="str">
            <v>3rd party cost</v>
          </cell>
          <cell r="L296" t="str">
            <v>Status</v>
          </cell>
          <cell r="M296" t="str">
            <v>Next Step</v>
          </cell>
        </row>
        <row r="298">
          <cell r="D298" t="str">
            <v xml:space="preserve">CD2018 - 023 </v>
          </cell>
          <cell r="E298" t="str">
            <v>May - Jul</v>
          </cell>
          <cell r="F298">
            <v>841109720</v>
          </cell>
          <cell r="G298">
            <v>925220692.00000012</v>
          </cell>
          <cell r="H298">
            <v>925220692</v>
          </cell>
          <cell r="I298">
            <v>705693867</v>
          </cell>
          <cell r="J298">
            <v>705693867</v>
          </cell>
          <cell r="K298">
            <v>784724757</v>
          </cell>
          <cell r="L298" t="str">
            <v>Done</v>
          </cell>
          <cell r="M298">
            <v>0</v>
          </cell>
        </row>
        <row r="299">
          <cell r="G299">
            <v>925220692.00000012</v>
          </cell>
          <cell r="H299">
            <v>925220692</v>
          </cell>
          <cell r="I299">
            <v>705693867</v>
          </cell>
          <cell r="J299">
            <v>705693867</v>
          </cell>
          <cell r="K299">
            <v>784724757</v>
          </cell>
        </row>
        <row r="301">
          <cell r="G301" t="str">
            <v>Summary</v>
          </cell>
          <cell r="H301">
            <v>75942995067.899994</v>
          </cell>
          <cell r="I301">
            <v>57228219596</v>
          </cell>
          <cell r="J301">
            <v>47564559802.300003</v>
          </cell>
          <cell r="K301">
            <v>43365906560.12352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"/>
      <sheetName val="YTD Report"/>
      <sheetName val="P&amp;L up to Nov"/>
      <sheetName val="Dec Balance 2015"/>
      <sheetName val="Jan Balance 2016"/>
      <sheetName val="Feb Balance 2016"/>
      <sheetName val="Mar Balance 2016"/>
      <sheetName val="Apr Balance 2016"/>
      <sheetName val="May Balance 2016"/>
      <sheetName val="Jun Balance 2016"/>
      <sheetName val="Jul Balance 2016"/>
      <sheetName val="Aug Balance 2016"/>
      <sheetName val="Sep Balance 2016"/>
      <sheetName val="Oct Balance 2016"/>
      <sheetName val="Nov Balance 2016"/>
      <sheetName val="Dec Balance 2016"/>
      <sheetName val="2017 P&amp;L"/>
      <sheetName val="Dec 2017 "/>
      <sheetName val="Jan'18"/>
      <sheetName val="Feb'18"/>
      <sheetName val="Mar'18"/>
      <sheetName val="Apr 18"/>
      <sheetName val="May18"/>
      <sheetName val="Jun18"/>
      <sheetName val="Jul18"/>
      <sheetName val="Aug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9">
          <cell r="C19">
            <v>202366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"/>
      <sheetName val="YTD Report"/>
      <sheetName val="P&amp;L up to Nov"/>
      <sheetName val="Dec Balance 2015"/>
      <sheetName val="Jan Balance 2016"/>
      <sheetName val="Feb Balance 2016"/>
      <sheetName val="Mar Balance 2016"/>
      <sheetName val="Apr Balance 2016"/>
      <sheetName val="May Balance 2016"/>
      <sheetName val="Jun Balance 2016"/>
      <sheetName val="Jul Balance 2016"/>
      <sheetName val="Aug Balance 2016"/>
      <sheetName val="Sep Balance 2016"/>
      <sheetName val="Oct Balance 2016"/>
      <sheetName val="Nov Balance 2016"/>
      <sheetName val="Dec Balance 2016"/>
      <sheetName val="2017 P&amp;L"/>
      <sheetName val="Dec 2017 "/>
      <sheetName val="Jan'18"/>
      <sheetName val="Feb'18"/>
      <sheetName val="Mar'18"/>
      <sheetName val="Apr 18"/>
      <sheetName val="May18"/>
      <sheetName val="Jun18"/>
      <sheetName val="Jul18"/>
      <sheetName val="Aug18"/>
      <sheetName val="Sep18"/>
      <sheetName val="Oct18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27">
          <cell r="C127">
            <v>3388812911.909091</v>
          </cell>
        </row>
      </sheetData>
      <sheetData sheetId="25">
        <row r="148">
          <cell r="C148">
            <v>1483961056.2222223</v>
          </cell>
        </row>
      </sheetData>
      <sheetData sheetId="26">
        <row r="44">
          <cell r="C44">
            <v>145668000</v>
          </cell>
        </row>
      </sheetData>
      <sheetData sheetId="27">
        <row r="19">
          <cell r="C19">
            <v>216555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4" workbookViewId="0">
      <selection activeCell="F5" sqref="F5"/>
    </sheetView>
  </sheetViews>
  <sheetFormatPr defaultRowHeight="14.4"/>
  <cols>
    <col min="1" max="1" width="8.109375" customWidth="1"/>
    <col min="2" max="2" width="34" style="9" customWidth="1"/>
    <col min="3" max="3" width="54" customWidth="1"/>
    <col min="4" max="4" width="60.44140625" customWidth="1"/>
    <col min="5" max="5" width="20.5546875" bestFit="1" customWidth="1"/>
    <col min="6" max="6" width="23.44140625" bestFit="1" customWidth="1"/>
  </cols>
  <sheetData>
    <row r="1" spans="1:7">
      <c r="A1" s="1" t="s">
        <v>18</v>
      </c>
    </row>
    <row r="2" spans="1:7">
      <c r="A2" s="182" t="s">
        <v>303</v>
      </c>
    </row>
    <row r="3" spans="1:7" s="2" customFormat="1">
      <c r="A3" s="2" t="s">
        <v>19</v>
      </c>
      <c r="B3" s="10" t="s">
        <v>20</v>
      </c>
      <c r="C3" s="2" t="s">
        <v>23</v>
      </c>
      <c r="D3" s="2" t="s">
        <v>21</v>
      </c>
      <c r="E3" s="10" t="s">
        <v>42</v>
      </c>
      <c r="F3" s="10" t="s">
        <v>304</v>
      </c>
    </row>
    <row r="4" spans="1:7" ht="37.5" customHeight="1">
      <c r="A4">
        <v>1</v>
      </c>
      <c r="B4" s="73" t="s">
        <v>120</v>
      </c>
      <c r="C4" s="9" t="s">
        <v>22</v>
      </c>
      <c r="D4" s="9" t="s">
        <v>57</v>
      </c>
      <c r="E4" s="76"/>
    </row>
    <row r="5" spans="1:7" ht="57.6">
      <c r="A5">
        <v>2</v>
      </c>
      <c r="B5" s="73" t="s">
        <v>47</v>
      </c>
      <c r="C5" s="9" t="s">
        <v>305</v>
      </c>
      <c r="D5" s="9" t="s">
        <v>24</v>
      </c>
      <c r="E5" s="9" t="s">
        <v>43</v>
      </c>
      <c r="F5" s="9" t="s">
        <v>115</v>
      </c>
      <c r="G5" s="9"/>
    </row>
    <row r="6" spans="1:7">
      <c r="A6">
        <v>3</v>
      </c>
      <c r="B6" s="73" t="s">
        <v>48</v>
      </c>
      <c r="C6" s="9" t="s">
        <v>26</v>
      </c>
      <c r="D6" s="9" t="s">
        <v>25</v>
      </c>
    </row>
    <row r="7" spans="1:7">
      <c r="A7">
        <v>4</v>
      </c>
      <c r="B7" s="77" t="s">
        <v>39</v>
      </c>
      <c r="C7" s="78" t="s">
        <v>40</v>
      </c>
      <c r="D7" s="78" t="s">
        <v>306</v>
      </c>
      <c r="E7" s="76"/>
      <c r="F7" s="78"/>
    </row>
    <row r="8" spans="1:7" ht="28.8">
      <c r="A8">
        <v>5</v>
      </c>
      <c r="B8" s="73" t="s">
        <v>52</v>
      </c>
      <c r="C8" s="9" t="s">
        <v>53</v>
      </c>
      <c r="D8" s="9" t="s">
        <v>41</v>
      </c>
    </row>
    <row r="9" spans="1:7" ht="28.8">
      <c r="A9">
        <v>6</v>
      </c>
      <c r="B9" s="73" t="s">
        <v>309</v>
      </c>
      <c r="C9" s="9" t="s">
        <v>307</v>
      </c>
      <c r="D9" s="9" t="s">
        <v>313</v>
      </c>
      <c r="E9" t="s">
        <v>308</v>
      </c>
    </row>
    <row r="10" spans="1:7" ht="28.8">
      <c r="A10">
        <v>7</v>
      </c>
      <c r="B10" s="73" t="s">
        <v>310</v>
      </c>
      <c r="C10" s="9" t="s">
        <v>311</v>
      </c>
      <c r="D10" s="9" t="s">
        <v>312</v>
      </c>
      <c r="E10" t="s">
        <v>314</v>
      </c>
    </row>
    <row r="11" spans="1:7" ht="28.8">
      <c r="A11">
        <v>8</v>
      </c>
      <c r="B11" s="73" t="s">
        <v>27</v>
      </c>
      <c r="C11" s="9" t="s">
        <v>28</v>
      </c>
      <c r="D11" s="9" t="s">
        <v>29</v>
      </c>
    </row>
    <row r="12" spans="1:7" ht="28.8">
      <c r="A12">
        <v>9</v>
      </c>
      <c r="B12" s="73" t="s">
        <v>30</v>
      </c>
      <c r="C12" s="9" t="s">
        <v>31</v>
      </c>
      <c r="D12" s="9" t="s">
        <v>32</v>
      </c>
    </row>
    <row r="13" spans="1:7" ht="43.2">
      <c r="A13">
        <v>11</v>
      </c>
      <c r="B13" s="73" t="s">
        <v>37</v>
      </c>
      <c r="C13" s="9" t="s">
        <v>33</v>
      </c>
      <c r="D13" s="9" t="s">
        <v>34</v>
      </c>
      <c r="E13" s="9"/>
    </row>
    <row r="14" spans="1:7" ht="28.8">
      <c r="A14">
        <v>10</v>
      </c>
      <c r="B14" s="73" t="s">
        <v>35</v>
      </c>
      <c r="C14" s="9" t="s">
        <v>36</v>
      </c>
      <c r="D14" s="9" t="s">
        <v>54</v>
      </c>
      <c r="E14" s="9"/>
    </row>
    <row r="15" spans="1:7" ht="28.8">
      <c r="A15">
        <v>12</v>
      </c>
      <c r="B15" s="73" t="s">
        <v>38</v>
      </c>
      <c r="C15" s="9" t="s">
        <v>318</v>
      </c>
      <c r="D15" s="9" t="s">
        <v>46</v>
      </c>
      <c r="E15" s="9"/>
    </row>
    <row r="16" spans="1:7" ht="28.8">
      <c r="A16">
        <v>13</v>
      </c>
      <c r="B16" s="73" t="s">
        <v>44</v>
      </c>
      <c r="C16" s="9" t="s">
        <v>45</v>
      </c>
      <c r="D16" s="9" t="s">
        <v>46</v>
      </c>
      <c r="E16" s="9"/>
    </row>
    <row r="17" spans="1:5" ht="28.8">
      <c r="A17">
        <v>14</v>
      </c>
      <c r="B17" s="73" t="s">
        <v>55</v>
      </c>
      <c r="C17" s="9" t="s">
        <v>56</v>
      </c>
      <c r="D17" s="9" t="s">
        <v>282</v>
      </c>
      <c r="E17" s="9"/>
    </row>
    <row r="18" spans="1:5">
      <c r="A18">
        <v>15</v>
      </c>
      <c r="B18" s="73" t="s">
        <v>317</v>
      </c>
      <c r="C18" s="9"/>
      <c r="D18" s="9"/>
    </row>
    <row r="19" spans="1:5">
      <c r="A19" s="11"/>
      <c r="C19" s="9"/>
      <c r="D19" s="9"/>
    </row>
    <row r="20" spans="1:5">
      <c r="A20" s="11"/>
      <c r="C20" s="9"/>
      <c r="D20" s="9"/>
    </row>
    <row r="21" spans="1:5" s="12" customFormat="1">
      <c r="B21" s="13" t="s">
        <v>59</v>
      </c>
      <c r="C21" s="13" t="s">
        <v>60</v>
      </c>
      <c r="D21" s="13" t="s">
        <v>61</v>
      </c>
    </row>
    <row r="22" spans="1:5" s="14" customFormat="1">
      <c r="B22" s="15" t="s">
        <v>65</v>
      </c>
      <c r="C22" s="15" t="s">
        <v>66</v>
      </c>
      <c r="D22" s="15" t="s">
        <v>67</v>
      </c>
    </row>
    <row r="23" spans="1:5">
      <c r="B23" s="9" t="s">
        <v>277</v>
      </c>
      <c r="C23" s="9" t="s">
        <v>58</v>
      </c>
      <c r="D23" s="9" t="s">
        <v>62</v>
      </c>
    </row>
    <row r="24" spans="1:5">
      <c r="B24" s="9" t="s">
        <v>351</v>
      </c>
      <c r="C24" s="9" t="s">
        <v>352</v>
      </c>
      <c r="D24" s="9" t="s">
        <v>353</v>
      </c>
    </row>
    <row r="25" spans="1:5">
      <c r="B25" s="9" t="s">
        <v>63</v>
      </c>
      <c r="C25" s="9" t="s">
        <v>1</v>
      </c>
      <c r="D25" s="9" t="s">
        <v>68</v>
      </c>
    </row>
    <row r="26" spans="1:5">
      <c r="B26" s="9" t="s">
        <v>69</v>
      </c>
      <c r="C26" s="9" t="s">
        <v>70</v>
      </c>
      <c r="D26" s="9" t="s">
        <v>71</v>
      </c>
    </row>
    <row r="27" spans="1:5">
      <c r="B27" s="9" t="s">
        <v>0</v>
      </c>
      <c r="C27" s="9" t="s">
        <v>72</v>
      </c>
    </row>
    <row r="28" spans="1:5">
      <c r="B28" s="9" t="s">
        <v>3</v>
      </c>
      <c r="C28" s="9" t="s">
        <v>74</v>
      </c>
    </row>
    <row r="29" spans="1:5">
      <c r="B29" s="9" t="s">
        <v>73</v>
      </c>
      <c r="C29" s="9" t="s">
        <v>75</v>
      </c>
    </row>
    <row r="30" spans="1:5">
      <c r="B30" s="9" t="s">
        <v>76</v>
      </c>
      <c r="C30" s="9" t="s">
        <v>77</v>
      </c>
    </row>
    <row r="31" spans="1:5">
      <c r="B31" s="9" t="s">
        <v>110</v>
      </c>
      <c r="D31" t="s">
        <v>111</v>
      </c>
    </row>
  </sheetData>
  <hyperlinks>
    <hyperlink ref="B7" location="'4. Báo cáo PCE chua co hd'!A1" display="Báo cáo PCE chưa issue invoice" xr:uid="{00000000-0004-0000-0000-000000000000}"/>
    <hyperlink ref="B8" location="'5. Báo cáo PR chua co hd'!A1" display="Báo cáo PR chưa nhận được hóa đơn từ supplier" xr:uid="{00000000-0004-0000-0000-000001000000}"/>
    <hyperlink ref="B6" location="'3. Bao cao lãi lỗ theo job item'!A1" display="Báo cáo lãi lỗ theo từng job items" xr:uid="{00000000-0004-0000-0000-000002000000}"/>
    <hyperlink ref="B4" location="'1. JOB SUMMARY REPORT'!A1" display="JOB SUMMARY REPORT" xr:uid="{00000000-0004-0000-0000-000003000000}"/>
    <hyperlink ref="B5" location="'2'!A1" display="Báo cáo lãi lỗ tổng hợp từng job" xr:uid="{00000000-0004-0000-0000-000004000000}"/>
    <hyperlink ref="B11" location="'8. Bao cao cong no phai thu'!A1" display="Báo cáo tuổi nợ phải thu theo từng job" xr:uid="{00000000-0004-0000-0000-000007000000}"/>
    <hyperlink ref="B12" location="'9. Bao cao cong no phai tra'!A1" display="Báo cáo tuổi nợ phải trả theo từng job" xr:uid="{00000000-0004-0000-0000-000008000000}"/>
    <hyperlink ref="B9" location="'6. CF ACTUAL'!A1" display="Báo cáo dự báo dòng tiền theo từng job thực tế" xr:uid="{00000000-0004-0000-0000-000009000000}"/>
    <hyperlink ref="B13" location="'11. CF'!A1" display="Báo cáo dự báo dòng tiền phát sinh trong năm (cập nhật số thực tế đến thời điểm hiện tại)" xr:uid="{00000000-0004-0000-0000-00000A000000}"/>
    <hyperlink ref="B14" location="'11. CF'!A1" display="Báo cáo ngân sách hàng năm" xr:uid="{00000000-0004-0000-0000-00000B000000}"/>
    <hyperlink ref="B15" location="'13. CF vs actual'!A1" display="Báo cáo so sánh giữa số thực tế và ngân sách" xr:uid="{00000000-0004-0000-0000-00000C000000}"/>
    <hyperlink ref="B16" location="'14. Profit report '!A1" display="Báo cáo so sánh lãi lỗ năm trước và năm nay " xr:uid="{00000000-0004-0000-0000-00000D000000}"/>
    <hyperlink ref="B17" location="'14. List of contract'!A1" display="Báo cáo các hợp đồng được ký trong năm" xr:uid="{00000000-0004-0000-0000-00000E000000}"/>
    <hyperlink ref="B10" location="'7. CF ESTIMATE'!A1" display="Báo cáo dự báo dòng tiền theo từng job dự kiến" xr:uid="{3C91E04A-9B29-4818-A908-17CFA7C3FD60}"/>
    <hyperlink ref="B18" location="'15'!A1" display="Báo cáo theo dõi thuế TNCN" xr:uid="{2C845C68-1452-4985-A389-55F357879A33}"/>
  </hyperlinks>
  <pageMargins left="0.2" right="0.28000000000000003" top="0.74803149606299213" bottom="0.74803149606299213" header="0.31496062992125984" footer="0.31496062992125984"/>
  <pageSetup paperSize="9"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5"/>
  <sheetViews>
    <sheetView workbookViewId="0">
      <selection activeCell="C19" sqref="C19"/>
    </sheetView>
  </sheetViews>
  <sheetFormatPr defaultRowHeight="14.4"/>
  <cols>
    <col min="1" max="1" width="12.6640625" customWidth="1"/>
    <col min="2" max="2" width="14.33203125" bestFit="1" customWidth="1"/>
    <col min="3" max="3" width="20.88671875" bestFit="1" customWidth="1"/>
    <col min="4" max="4" width="24.6640625" style="5" bestFit="1" customWidth="1"/>
    <col min="5" max="5" width="25.88671875" style="5" bestFit="1" customWidth="1"/>
    <col min="6" max="6" width="21.77734375" style="5" bestFit="1" customWidth="1"/>
    <col min="7" max="7" width="23" style="5" bestFit="1" customWidth="1"/>
    <col min="8" max="8" width="31.5546875" style="5" bestFit="1" customWidth="1"/>
    <col min="9" max="9" width="23.44140625" bestFit="1" customWidth="1"/>
    <col min="10" max="10" width="13.44140625" bestFit="1" customWidth="1"/>
    <col min="11" max="11" width="14.109375" customWidth="1"/>
  </cols>
  <sheetData>
    <row r="1" spans="1:12">
      <c r="L1" s="74" t="s">
        <v>131</v>
      </c>
    </row>
    <row r="3" spans="1:12" ht="25.8">
      <c r="E3" s="215" t="s">
        <v>120</v>
      </c>
    </row>
    <row r="4" spans="1:12">
      <c r="D4" s="147" t="s">
        <v>348</v>
      </c>
    </row>
    <row r="5" spans="1:12">
      <c r="D5" s="147" t="s">
        <v>275</v>
      </c>
    </row>
    <row r="9" spans="1:12">
      <c r="A9" s="3" t="s">
        <v>4</v>
      </c>
      <c r="B9" s="3" t="s">
        <v>301</v>
      </c>
      <c r="C9" s="3"/>
      <c r="D9" s="7"/>
      <c r="E9" s="7"/>
      <c r="F9" s="7"/>
      <c r="G9" s="7"/>
      <c r="H9" s="3" t="s">
        <v>8</v>
      </c>
      <c r="I9" s="181" t="s">
        <v>298</v>
      </c>
      <c r="J9" s="3"/>
      <c r="K9" s="3"/>
    </row>
    <row r="10" spans="1:12">
      <c r="A10" t="s">
        <v>5</v>
      </c>
      <c r="B10" t="s">
        <v>302</v>
      </c>
      <c r="H10" t="s">
        <v>9</v>
      </c>
      <c r="I10" s="181" t="s">
        <v>300</v>
      </c>
    </row>
    <row r="11" spans="1:12">
      <c r="A11" t="s">
        <v>6</v>
      </c>
      <c r="B11" t="s">
        <v>270</v>
      </c>
      <c r="H11" t="s">
        <v>10</v>
      </c>
      <c r="I11" s="181" t="s">
        <v>299</v>
      </c>
    </row>
    <row r="12" spans="1:12">
      <c r="A12" s="4" t="s">
        <v>7</v>
      </c>
      <c r="B12" s="4" t="s">
        <v>271</v>
      </c>
      <c r="C12" s="4"/>
      <c r="D12" s="8"/>
      <c r="E12" s="8"/>
      <c r="F12" s="8"/>
      <c r="G12" s="8"/>
      <c r="H12" s="8"/>
      <c r="I12" s="4"/>
      <c r="J12" s="4"/>
      <c r="K12" s="4"/>
    </row>
    <row r="13" spans="1:12" s="11" customFormat="1">
      <c r="B13" s="11" t="s">
        <v>293</v>
      </c>
      <c r="C13" s="173" t="s">
        <v>358</v>
      </c>
      <c r="D13" s="173" t="s">
        <v>357</v>
      </c>
      <c r="E13" s="173" t="s">
        <v>297</v>
      </c>
      <c r="F13" s="173" t="s">
        <v>354</v>
      </c>
      <c r="G13" s="173" t="s">
        <v>355</v>
      </c>
      <c r="H13" s="11" t="s">
        <v>356</v>
      </c>
      <c r="I13" s="11" t="s">
        <v>212</v>
      </c>
    </row>
    <row r="14" spans="1:12" s="1" customFormat="1">
      <c r="A14" s="1" t="s">
        <v>292</v>
      </c>
      <c r="B14" s="1" t="s">
        <v>11</v>
      </c>
      <c r="C14" s="6" t="s">
        <v>12</v>
      </c>
      <c r="D14" s="6" t="s">
        <v>13</v>
      </c>
      <c r="E14" s="6" t="s">
        <v>211</v>
      </c>
      <c r="F14" s="6" t="s">
        <v>14</v>
      </c>
      <c r="G14" s="1" t="s">
        <v>15</v>
      </c>
      <c r="H14" s="1" t="s">
        <v>16</v>
      </c>
      <c r="I14" s="1" t="s">
        <v>17</v>
      </c>
    </row>
    <row r="15" spans="1:12">
      <c r="A15" t="s">
        <v>283</v>
      </c>
      <c r="C15" s="5">
        <v>50000000</v>
      </c>
      <c r="D15" s="5" t="s">
        <v>284</v>
      </c>
      <c r="G15" s="5">
        <v>50000000</v>
      </c>
      <c r="H15"/>
      <c r="I15" s="174">
        <v>50000000</v>
      </c>
    </row>
    <row r="16" spans="1:12">
      <c r="A16" t="s">
        <v>285</v>
      </c>
      <c r="C16" s="5"/>
      <c r="E16" s="5">
        <v>10000000</v>
      </c>
      <c r="F16" s="5">
        <v>10000000</v>
      </c>
      <c r="G16"/>
      <c r="H16">
        <v>8000000</v>
      </c>
      <c r="I16" s="175" t="s">
        <v>286</v>
      </c>
    </row>
    <row r="17" spans="1:11">
      <c r="A17" t="s">
        <v>287</v>
      </c>
      <c r="C17" s="5"/>
      <c r="E17" s="5">
        <v>5000000</v>
      </c>
      <c r="F17" s="5">
        <v>5000000</v>
      </c>
      <c r="G17"/>
      <c r="H17">
        <v>5000000</v>
      </c>
      <c r="I17" s="175" t="s">
        <v>288</v>
      </c>
      <c r="K17" s="5"/>
    </row>
    <row r="18" spans="1:11">
      <c r="C18" s="5"/>
      <c r="F18" s="6" t="s">
        <v>289</v>
      </c>
      <c r="G18"/>
      <c r="H18"/>
      <c r="I18" s="176">
        <v>94000000</v>
      </c>
      <c r="J18" s="11" t="s">
        <v>295</v>
      </c>
    </row>
    <row r="19" spans="1:11">
      <c r="C19" s="5"/>
      <c r="F19" s="177" t="s">
        <v>290</v>
      </c>
      <c r="H19"/>
      <c r="I19" s="178">
        <v>20000000</v>
      </c>
      <c r="J19" s="11" t="s">
        <v>294</v>
      </c>
    </row>
    <row r="20" spans="1:11">
      <c r="C20" s="5"/>
      <c r="F20" s="177" t="s">
        <v>291</v>
      </c>
      <c r="H20"/>
      <c r="I20" s="5">
        <v>74000000</v>
      </c>
      <c r="J20" s="11" t="s">
        <v>296</v>
      </c>
    </row>
    <row r="21" spans="1:11">
      <c r="A21" s="3" t="s">
        <v>49</v>
      </c>
      <c r="B21" s="3"/>
      <c r="C21" s="3"/>
      <c r="D21" s="7"/>
      <c r="E21" s="7"/>
      <c r="F21" s="7"/>
      <c r="G21" s="7"/>
      <c r="H21" s="7"/>
      <c r="I21" s="3"/>
      <c r="J21" s="3"/>
      <c r="K21" s="3"/>
    </row>
    <row r="22" spans="1:11">
      <c r="A22" t="s">
        <v>50</v>
      </c>
      <c r="C22" s="11" t="s">
        <v>217</v>
      </c>
    </row>
    <row r="23" spans="1:11">
      <c r="A23" t="s">
        <v>51</v>
      </c>
      <c r="C23" s="11" t="s">
        <v>218</v>
      </c>
    </row>
    <row r="24" spans="1:11">
      <c r="A24" t="s">
        <v>214</v>
      </c>
      <c r="C24" s="11" t="s">
        <v>213</v>
      </c>
    </row>
    <row r="25" spans="1:11">
      <c r="A25" t="s">
        <v>215</v>
      </c>
      <c r="C25" s="11" t="s">
        <v>216</v>
      </c>
    </row>
  </sheetData>
  <hyperlinks>
    <hyperlink ref="L1" location="'List of reports'!A1" display="Trở về" xr:uid="{00000000-0004-0000-0100-000000000000}"/>
  </hyperlinks>
  <pageMargins left="0.70866141732283472" right="0.70866141732283472" top="0.74803149606299213" bottom="0.74803149606299213" header="0.31496062992125984" footer="0.31496062992125984"/>
  <pageSetup paperSize="9" scale="8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"/>
  <sheetViews>
    <sheetView tabSelected="1" zoomScale="85" zoomScaleNormal="85" workbookViewId="0">
      <selection activeCell="A9" sqref="A9"/>
    </sheetView>
  </sheetViews>
  <sheetFormatPr defaultColWidth="8.88671875" defaultRowHeight="13.8"/>
  <cols>
    <col min="1" max="1" width="16" style="16" customWidth="1"/>
    <col min="2" max="3" width="12.44140625" style="17" customWidth="1"/>
    <col min="4" max="4" width="14.6640625" style="17" customWidth="1"/>
    <col min="5" max="5" width="17.109375" style="17" customWidth="1"/>
    <col min="6" max="7" width="16.109375" style="21" customWidth="1"/>
    <col min="8" max="8" width="14.44140625" style="18" customWidth="1"/>
    <col min="9" max="9" width="16.44140625" style="18" bestFit="1" customWidth="1"/>
    <col min="10" max="10" width="16.44140625" style="18" customWidth="1"/>
    <col min="11" max="11" width="16.44140625" style="18" bestFit="1" customWidth="1"/>
    <col min="12" max="13" width="16.44140625" style="19" customWidth="1"/>
    <col min="14" max="14" width="16.5546875" style="21" customWidth="1"/>
    <col min="15" max="15" width="17.5546875" style="20" customWidth="1"/>
    <col min="16" max="16" width="12.6640625" style="168" customWidth="1"/>
    <col min="17" max="17" width="18.77734375" style="168" bestFit="1" customWidth="1"/>
    <col min="18" max="18" width="27.88671875" style="168" bestFit="1" customWidth="1"/>
    <col min="19" max="258" width="8.88671875" style="20"/>
    <col min="259" max="259" width="16" style="20" customWidth="1"/>
    <col min="260" max="260" width="12.44140625" style="20" customWidth="1"/>
    <col min="261" max="261" width="17.109375" style="20" customWidth="1"/>
    <col min="262" max="262" width="14.6640625" style="20" customWidth="1"/>
    <col min="263" max="263" width="22.88671875" style="20" customWidth="1"/>
    <col min="264" max="265" width="14.44140625" style="20" customWidth="1"/>
    <col min="266" max="267" width="16.44140625" style="20" bestFit="1" customWidth="1"/>
    <col min="268" max="269" width="16.44140625" style="20" customWidth="1"/>
    <col min="270" max="270" width="29.109375" style="20" customWidth="1"/>
    <col min="271" max="271" width="33" style="20" customWidth="1"/>
    <col min="272" max="272" width="61.44140625" style="20" bestFit="1" customWidth="1"/>
    <col min="273" max="514" width="8.88671875" style="20"/>
    <col min="515" max="515" width="16" style="20" customWidth="1"/>
    <col min="516" max="516" width="12.44140625" style="20" customWidth="1"/>
    <col min="517" max="517" width="17.109375" style="20" customWidth="1"/>
    <col min="518" max="518" width="14.6640625" style="20" customWidth="1"/>
    <col min="519" max="519" width="22.88671875" style="20" customWidth="1"/>
    <col min="520" max="521" width="14.44140625" style="20" customWidth="1"/>
    <col min="522" max="523" width="16.44140625" style="20" bestFit="1" customWidth="1"/>
    <col min="524" max="525" width="16.44140625" style="20" customWidth="1"/>
    <col min="526" max="526" width="29.109375" style="20" customWidth="1"/>
    <col min="527" max="527" width="33" style="20" customWidth="1"/>
    <col min="528" max="528" width="61.44140625" style="20" bestFit="1" customWidth="1"/>
    <col min="529" max="770" width="8.88671875" style="20"/>
    <col min="771" max="771" width="16" style="20" customWidth="1"/>
    <col min="772" max="772" width="12.44140625" style="20" customWidth="1"/>
    <col min="773" max="773" width="17.109375" style="20" customWidth="1"/>
    <col min="774" max="774" width="14.6640625" style="20" customWidth="1"/>
    <col min="775" max="775" width="22.88671875" style="20" customWidth="1"/>
    <col min="776" max="777" width="14.44140625" style="20" customWidth="1"/>
    <col min="778" max="779" width="16.44140625" style="20" bestFit="1" customWidth="1"/>
    <col min="780" max="781" width="16.44140625" style="20" customWidth="1"/>
    <col min="782" max="782" width="29.109375" style="20" customWidth="1"/>
    <col min="783" max="783" width="33" style="20" customWidth="1"/>
    <col min="784" max="784" width="61.44140625" style="20" bestFit="1" customWidth="1"/>
    <col min="785" max="1026" width="8.88671875" style="20"/>
    <col min="1027" max="1027" width="16" style="20" customWidth="1"/>
    <col min="1028" max="1028" width="12.44140625" style="20" customWidth="1"/>
    <col min="1029" max="1029" width="17.109375" style="20" customWidth="1"/>
    <col min="1030" max="1030" width="14.6640625" style="20" customWidth="1"/>
    <col min="1031" max="1031" width="22.88671875" style="20" customWidth="1"/>
    <col min="1032" max="1033" width="14.44140625" style="20" customWidth="1"/>
    <col min="1034" max="1035" width="16.44140625" style="20" bestFit="1" customWidth="1"/>
    <col min="1036" max="1037" width="16.44140625" style="20" customWidth="1"/>
    <col min="1038" max="1038" width="29.109375" style="20" customWidth="1"/>
    <col min="1039" max="1039" width="33" style="20" customWidth="1"/>
    <col min="1040" max="1040" width="61.44140625" style="20" bestFit="1" customWidth="1"/>
    <col min="1041" max="1282" width="8.88671875" style="20"/>
    <col min="1283" max="1283" width="16" style="20" customWidth="1"/>
    <col min="1284" max="1284" width="12.44140625" style="20" customWidth="1"/>
    <col min="1285" max="1285" width="17.109375" style="20" customWidth="1"/>
    <col min="1286" max="1286" width="14.6640625" style="20" customWidth="1"/>
    <col min="1287" max="1287" width="22.88671875" style="20" customWidth="1"/>
    <col min="1288" max="1289" width="14.44140625" style="20" customWidth="1"/>
    <col min="1290" max="1291" width="16.44140625" style="20" bestFit="1" customWidth="1"/>
    <col min="1292" max="1293" width="16.44140625" style="20" customWidth="1"/>
    <col min="1294" max="1294" width="29.109375" style="20" customWidth="1"/>
    <col min="1295" max="1295" width="33" style="20" customWidth="1"/>
    <col min="1296" max="1296" width="61.44140625" style="20" bestFit="1" customWidth="1"/>
    <col min="1297" max="1538" width="8.88671875" style="20"/>
    <col min="1539" max="1539" width="16" style="20" customWidth="1"/>
    <col min="1540" max="1540" width="12.44140625" style="20" customWidth="1"/>
    <col min="1541" max="1541" width="17.109375" style="20" customWidth="1"/>
    <col min="1542" max="1542" width="14.6640625" style="20" customWidth="1"/>
    <col min="1543" max="1543" width="22.88671875" style="20" customWidth="1"/>
    <col min="1544" max="1545" width="14.44140625" style="20" customWidth="1"/>
    <col min="1546" max="1547" width="16.44140625" style="20" bestFit="1" customWidth="1"/>
    <col min="1548" max="1549" width="16.44140625" style="20" customWidth="1"/>
    <col min="1550" max="1550" width="29.109375" style="20" customWidth="1"/>
    <col min="1551" max="1551" width="33" style="20" customWidth="1"/>
    <col min="1552" max="1552" width="61.44140625" style="20" bestFit="1" customWidth="1"/>
    <col min="1553" max="1794" width="8.88671875" style="20"/>
    <col min="1795" max="1795" width="16" style="20" customWidth="1"/>
    <col min="1796" max="1796" width="12.44140625" style="20" customWidth="1"/>
    <col min="1797" max="1797" width="17.109375" style="20" customWidth="1"/>
    <col min="1798" max="1798" width="14.6640625" style="20" customWidth="1"/>
    <col min="1799" max="1799" width="22.88671875" style="20" customWidth="1"/>
    <col min="1800" max="1801" width="14.44140625" style="20" customWidth="1"/>
    <col min="1802" max="1803" width="16.44140625" style="20" bestFit="1" customWidth="1"/>
    <col min="1804" max="1805" width="16.44140625" style="20" customWidth="1"/>
    <col min="1806" max="1806" width="29.109375" style="20" customWidth="1"/>
    <col min="1807" max="1807" width="33" style="20" customWidth="1"/>
    <col min="1808" max="1808" width="61.44140625" style="20" bestFit="1" customWidth="1"/>
    <col min="1809" max="2050" width="8.88671875" style="20"/>
    <col min="2051" max="2051" width="16" style="20" customWidth="1"/>
    <col min="2052" max="2052" width="12.44140625" style="20" customWidth="1"/>
    <col min="2053" max="2053" width="17.109375" style="20" customWidth="1"/>
    <col min="2054" max="2054" width="14.6640625" style="20" customWidth="1"/>
    <col min="2055" max="2055" width="22.88671875" style="20" customWidth="1"/>
    <col min="2056" max="2057" width="14.44140625" style="20" customWidth="1"/>
    <col min="2058" max="2059" width="16.44140625" style="20" bestFit="1" customWidth="1"/>
    <col min="2060" max="2061" width="16.44140625" style="20" customWidth="1"/>
    <col min="2062" max="2062" width="29.109375" style="20" customWidth="1"/>
    <col min="2063" max="2063" width="33" style="20" customWidth="1"/>
    <col min="2064" max="2064" width="61.44140625" style="20" bestFit="1" customWidth="1"/>
    <col min="2065" max="2306" width="8.88671875" style="20"/>
    <col min="2307" max="2307" width="16" style="20" customWidth="1"/>
    <col min="2308" max="2308" width="12.44140625" style="20" customWidth="1"/>
    <col min="2309" max="2309" width="17.109375" style="20" customWidth="1"/>
    <col min="2310" max="2310" width="14.6640625" style="20" customWidth="1"/>
    <col min="2311" max="2311" width="22.88671875" style="20" customWidth="1"/>
    <col min="2312" max="2313" width="14.44140625" style="20" customWidth="1"/>
    <col min="2314" max="2315" width="16.44140625" style="20" bestFit="1" customWidth="1"/>
    <col min="2316" max="2317" width="16.44140625" style="20" customWidth="1"/>
    <col min="2318" max="2318" width="29.109375" style="20" customWidth="1"/>
    <col min="2319" max="2319" width="33" style="20" customWidth="1"/>
    <col min="2320" max="2320" width="61.44140625" style="20" bestFit="1" customWidth="1"/>
    <col min="2321" max="2562" width="8.88671875" style="20"/>
    <col min="2563" max="2563" width="16" style="20" customWidth="1"/>
    <col min="2564" max="2564" width="12.44140625" style="20" customWidth="1"/>
    <col min="2565" max="2565" width="17.109375" style="20" customWidth="1"/>
    <col min="2566" max="2566" width="14.6640625" style="20" customWidth="1"/>
    <col min="2567" max="2567" width="22.88671875" style="20" customWidth="1"/>
    <col min="2568" max="2569" width="14.44140625" style="20" customWidth="1"/>
    <col min="2570" max="2571" width="16.44140625" style="20" bestFit="1" customWidth="1"/>
    <col min="2572" max="2573" width="16.44140625" style="20" customWidth="1"/>
    <col min="2574" max="2574" width="29.109375" style="20" customWidth="1"/>
    <col min="2575" max="2575" width="33" style="20" customWidth="1"/>
    <col min="2576" max="2576" width="61.44140625" style="20" bestFit="1" customWidth="1"/>
    <col min="2577" max="2818" width="8.88671875" style="20"/>
    <col min="2819" max="2819" width="16" style="20" customWidth="1"/>
    <col min="2820" max="2820" width="12.44140625" style="20" customWidth="1"/>
    <col min="2821" max="2821" width="17.109375" style="20" customWidth="1"/>
    <col min="2822" max="2822" width="14.6640625" style="20" customWidth="1"/>
    <col min="2823" max="2823" width="22.88671875" style="20" customWidth="1"/>
    <col min="2824" max="2825" width="14.44140625" style="20" customWidth="1"/>
    <col min="2826" max="2827" width="16.44140625" style="20" bestFit="1" customWidth="1"/>
    <col min="2828" max="2829" width="16.44140625" style="20" customWidth="1"/>
    <col min="2830" max="2830" width="29.109375" style="20" customWidth="1"/>
    <col min="2831" max="2831" width="33" style="20" customWidth="1"/>
    <col min="2832" max="2832" width="61.44140625" style="20" bestFit="1" customWidth="1"/>
    <col min="2833" max="3074" width="8.88671875" style="20"/>
    <col min="3075" max="3075" width="16" style="20" customWidth="1"/>
    <col min="3076" max="3076" width="12.44140625" style="20" customWidth="1"/>
    <col min="3077" max="3077" width="17.109375" style="20" customWidth="1"/>
    <col min="3078" max="3078" width="14.6640625" style="20" customWidth="1"/>
    <col min="3079" max="3079" width="22.88671875" style="20" customWidth="1"/>
    <col min="3080" max="3081" width="14.44140625" style="20" customWidth="1"/>
    <col min="3082" max="3083" width="16.44140625" style="20" bestFit="1" customWidth="1"/>
    <col min="3084" max="3085" width="16.44140625" style="20" customWidth="1"/>
    <col min="3086" max="3086" width="29.109375" style="20" customWidth="1"/>
    <col min="3087" max="3087" width="33" style="20" customWidth="1"/>
    <col min="3088" max="3088" width="61.44140625" style="20" bestFit="1" customWidth="1"/>
    <col min="3089" max="3330" width="8.88671875" style="20"/>
    <col min="3331" max="3331" width="16" style="20" customWidth="1"/>
    <col min="3332" max="3332" width="12.44140625" style="20" customWidth="1"/>
    <col min="3333" max="3333" width="17.109375" style="20" customWidth="1"/>
    <col min="3334" max="3334" width="14.6640625" style="20" customWidth="1"/>
    <col min="3335" max="3335" width="22.88671875" style="20" customWidth="1"/>
    <col min="3336" max="3337" width="14.44140625" style="20" customWidth="1"/>
    <col min="3338" max="3339" width="16.44140625" style="20" bestFit="1" customWidth="1"/>
    <col min="3340" max="3341" width="16.44140625" style="20" customWidth="1"/>
    <col min="3342" max="3342" width="29.109375" style="20" customWidth="1"/>
    <col min="3343" max="3343" width="33" style="20" customWidth="1"/>
    <col min="3344" max="3344" width="61.44140625" style="20" bestFit="1" customWidth="1"/>
    <col min="3345" max="3586" width="8.88671875" style="20"/>
    <col min="3587" max="3587" width="16" style="20" customWidth="1"/>
    <col min="3588" max="3588" width="12.44140625" style="20" customWidth="1"/>
    <col min="3589" max="3589" width="17.109375" style="20" customWidth="1"/>
    <col min="3590" max="3590" width="14.6640625" style="20" customWidth="1"/>
    <col min="3591" max="3591" width="22.88671875" style="20" customWidth="1"/>
    <col min="3592" max="3593" width="14.44140625" style="20" customWidth="1"/>
    <col min="3594" max="3595" width="16.44140625" style="20" bestFit="1" customWidth="1"/>
    <col min="3596" max="3597" width="16.44140625" style="20" customWidth="1"/>
    <col min="3598" max="3598" width="29.109375" style="20" customWidth="1"/>
    <col min="3599" max="3599" width="33" style="20" customWidth="1"/>
    <col min="3600" max="3600" width="61.44140625" style="20" bestFit="1" customWidth="1"/>
    <col min="3601" max="3842" width="8.88671875" style="20"/>
    <col min="3843" max="3843" width="16" style="20" customWidth="1"/>
    <col min="3844" max="3844" width="12.44140625" style="20" customWidth="1"/>
    <col min="3845" max="3845" width="17.109375" style="20" customWidth="1"/>
    <col min="3846" max="3846" width="14.6640625" style="20" customWidth="1"/>
    <col min="3847" max="3847" width="22.88671875" style="20" customWidth="1"/>
    <col min="3848" max="3849" width="14.44140625" style="20" customWidth="1"/>
    <col min="3850" max="3851" width="16.44140625" style="20" bestFit="1" customWidth="1"/>
    <col min="3852" max="3853" width="16.44140625" style="20" customWidth="1"/>
    <col min="3854" max="3854" width="29.109375" style="20" customWidth="1"/>
    <col min="3855" max="3855" width="33" style="20" customWidth="1"/>
    <col min="3856" max="3856" width="61.44140625" style="20" bestFit="1" customWidth="1"/>
    <col min="3857" max="4098" width="8.88671875" style="20"/>
    <col min="4099" max="4099" width="16" style="20" customWidth="1"/>
    <col min="4100" max="4100" width="12.44140625" style="20" customWidth="1"/>
    <col min="4101" max="4101" width="17.109375" style="20" customWidth="1"/>
    <col min="4102" max="4102" width="14.6640625" style="20" customWidth="1"/>
    <col min="4103" max="4103" width="22.88671875" style="20" customWidth="1"/>
    <col min="4104" max="4105" width="14.44140625" style="20" customWidth="1"/>
    <col min="4106" max="4107" width="16.44140625" style="20" bestFit="1" customWidth="1"/>
    <col min="4108" max="4109" width="16.44140625" style="20" customWidth="1"/>
    <col min="4110" max="4110" width="29.109375" style="20" customWidth="1"/>
    <col min="4111" max="4111" width="33" style="20" customWidth="1"/>
    <col min="4112" max="4112" width="61.44140625" style="20" bestFit="1" customWidth="1"/>
    <col min="4113" max="4354" width="8.88671875" style="20"/>
    <col min="4355" max="4355" width="16" style="20" customWidth="1"/>
    <col min="4356" max="4356" width="12.44140625" style="20" customWidth="1"/>
    <col min="4357" max="4357" width="17.109375" style="20" customWidth="1"/>
    <col min="4358" max="4358" width="14.6640625" style="20" customWidth="1"/>
    <col min="4359" max="4359" width="22.88671875" style="20" customWidth="1"/>
    <col min="4360" max="4361" width="14.44140625" style="20" customWidth="1"/>
    <col min="4362" max="4363" width="16.44140625" style="20" bestFit="1" customWidth="1"/>
    <col min="4364" max="4365" width="16.44140625" style="20" customWidth="1"/>
    <col min="4366" max="4366" width="29.109375" style="20" customWidth="1"/>
    <col min="4367" max="4367" width="33" style="20" customWidth="1"/>
    <col min="4368" max="4368" width="61.44140625" style="20" bestFit="1" customWidth="1"/>
    <col min="4369" max="4610" width="8.88671875" style="20"/>
    <col min="4611" max="4611" width="16" style="20" customWidth="1"/>
    <col min="4612" max="4612" width="12.44140625" style="20" customWidth="1"/>
    <col min="4613" max="4613" width="17.109375" style="20" customWidth="1"/>
    <col min="4614" max="4614" width="14.6640625" style="20" customWidth="1"/>
    <col min="4615" max="4615" width="22.88671875" style="20" customWidth="1"/>
    <col min="4616" max="4617" width="14.44140625" style="20" customWidth="1"/>
    <col min="4618" max="4619" width="16.44140625" style="20" bestFit="1" customWidth="1"/>
    <col min="4620" max="4621" width="16.44140625" style="20" customWidth="1"/>
    <col min="4622" max="4622" width="29.109375" style="20" customWidth="1"/>
    <col min="4623" max="4623" width="33" style="20" customWidth="1"/>
    <col min="4624" max="4624" width="61.44140625" style="20" bestFit="1" customWidth="1"/>
    <col min="4625" max="4866" width="8.88671875" style="20"/>
    <col min="4867" max="4867" width="16" style="20" customWidth="1"/>
    <col min="4868" max="4868" width="12.44140625" style="20" customWidth="1"/>
    <col min="4869" max="4869" width="17.109375" style="20" customWidth="1"/>
    <col min="4870" max="4870" width="14.6640625" style="20" customWidth="1"/>
    <col min="4871" max="4871" width="22.88671875" style="20" customWidth="1"/>
    <col min="4872" max="4873" width="14.44140625" style="20" customWidth="1"/>
    <col min="4874" max="4875" width="16.44140625" style="20" bestFit="1" customWidth="1"/>
    <col min="4876" max="4877" width="16.44140625" style="20" customWidth="1"/>
    <col min="4878" max="4878" width="29.109375" style="20" customWidth="1"/>
    <col min="4879" max="4879" width="33" style="20" customWidth="1"/>
    <col min="4880" max="4880" width="61.44140625" style="20" bestFit="1" customWidth="1"/>
    <col min="4881" max="5122" width="8.88671875" style="20"/>
    <col min="5123" max="5123" width="16" style="20" customWidth="1"/>
    <col min="5124" max="5124" width="12.44140625" style="20" customWidth="1"/>
    <col min="5125" max="5125" width="17.109375" style="20" customWidth="1"/>
    <col min="5126" max="5126" width="14.6640625" style="20" customWidth="1"/>
    <col min="5127" max="5127" width="22.88671875" style="20" customWidth="1"/>
    <col min="5128" max="5129" width="14.44140625" style="20" customWidth="1"/>
    <col min="5130" max="5131" width="16.44140625" style="20" bestFit="1" customWidth="1"/>
    <col min="5132" max="5133" width="16.44140625" style="20" customWidth="1"/>
    <col min="5134" max="5134" width="29.109375" style="20" customWidth="1"/>
    <col min="5135" max="5135" width="33" style="20" customWidth="1"/>
    <col min="5136" max="5136" width="61.44140625" style="20" bestFit="1" customWidth="1"/>
    <col min="5137" max="5378" width="8.88671875" style="20"/>
    <col min="5379" max="5379" width="16" style="20" customWidth="1"/>
    <col min="5380" max="5380" width="12.44140625" style="20" customWidth="1"/>
    <col min="5381" max="5381" width="17.109375" style="20" customWidth="1"/>
    <col min="5382" max="5382" width="14.6640625" style="20" customWidth="1"/>
    <col min="5383" max="5383" width="22.88671875" style="20" customWidth="1"/>
    <col min="5384" max="5385" width="14.44140625" style="20" customWidth="1"/>
    <col min="5386" max="5387" width="16.44140625" style="20" bestFit="1" customWidth="1"/>
    <col min="5388" max="5389" width="16.44140625" style="20" customWidth="1"/>
    <col min="5390" max="5390" width="29.109375" style="20" customWidth="1"/>
    <col min="5391" max="5391" width="33" style="20" customWidth="1"/>
    <col min="5392" max="5392" width="61.44140625" style="20" bestFit="1" customWidth="1"/>
    <col min="5393" max="5634" width="8.88671875" style="20"/>
    <col min="5635" max="5635" width="16" style="20" customWidth="1"/>
    <col min="5636" max="5636" width="12.44140625" style="20" customWidth="1"/>
    <col min="5637" max="5637" width="17.109375" style="20" customWidth="1"/>
    <col min="5638" max="5638" width="14.6640625" style="20" customWidth="1"/>
    <col min="5639" max="5639" width="22.88671875" style="20" customWidth="1"/>
    <col min="5640" max="5641" width="14.44140625" style="20" customWidth="1"/>
    <col min="5642" max="5643" width="16.44140625" style="20" bestFit="1" customWidth="1"/>
    <col min="5644" max="5645" width="16.44140625" style="20" customWidth="1"/>
    <col min="5646" max="5646" width="29.109375" style="20" customWidth="1"/>
    <col min="5647" max="5647" width="33" style="20" customWidth="1"/>
    <col min="5648" max="5648" width="61.44140625" style="20" bestFit="1" customWidth="1"/>
    <col min="5649" max="5890" width="8.88671875" style="20"/>
    <col min="5891" max="5891" width="16" style="20" customWidth="1"/>
    <col min="5892" max="5892" width="12.44140625" style="20" customWidth="1"/>
    <col min="5893" max="5893" width="17.109375" style="20" customWidth="1"/>
    <col min="5894" max="5894" width="14.6640625" style="20" customWidth="1"/>
    <col min="5895" max="5895" width="22.88671875" style="20" customWidth="1"/>
    <col min="5896" max="5897" width="14.44140625" style="20" customWidth="1"/>
    <col min="5898" max="5899" width="16.44140625" style="20" bestFit="1" customWidth="1"/>
    <col min="5900" max="5901" width="16.44140625" style="20" customWidth="1"/>
    <col min="5902" max="5902" width="29.109375" style="20" customWidth="1"/>
    <col min="5903" max="5903" width="33" style="20" customWidth="1"/>
    <col min="5904" max="5904" width="61.44140625" style="20" bestFit="1" customWidth="1"/>
    <col min="5905" max="6146" width="8.88671875" style="20"/>
    <col min="6147" max="6147" width="16" style="20" customWidth="1"/>
    <col min="6148" max="6148" width="12.44140625" style="20" customWidth="1"/>
    <col min="6149" max="6149" width="17.109375" style="20" customWidth="1"/>
    <col min="6150" max="6150" width="14.6640625" style="20" customWidth="1"/>
    <col min="6151" max="6151" width="22.88671875" style="20" customWidth="1"/>
    <col min="6152" max="6153" width="14.44140625" style="20" customWidth="1"/>
    <col min="6154" max="6155" width="16.44140625" style="20" bestFit="1" customWidth="1"/>
    <col min="6156" max="6157" width="16.44140625" style="20" customWidth="1"/>
    <col min="6158" max="6158" width="29.109375" style="20" customWidth="1"/>
    <col min="6159" max="6159" width="33" style="20" customWidth="1"/>
    <col min="6160" max="6160" width="61.44140625" style="20" bestFit="1" customWidth="1"/>
    <col min="6161" max="6402" width="8.88671875" style="20"/>
    <col min="6403" max="6403" width="16" style="20" customWidth="1"/>
    <col min="6404" max="6404" width="12.44140625" style="20" customWidth="1"/>
    <col min="6405" max="6405" width="17.109375" style="20" customWidth="1"/>
    <col min="6406" max="6406" width="14.6640625" style="20" customWidth="1"/>
    <col min="6407" max="6407" width="22.88671875" style="20" customWidth="1"/>
    <col min="6408" max="6409" width="14.44140625" style="20" customWidth="1"/>
    <col min="6410" max="6411" width="16.44140625" style="20" bestFit="1" customWidth="1"/>
    <col min="6412" max="6413" width="16.44140625" style="20" customWidth="1"/>
    <col min="6414" max="6414" width="29.109375" style="20" customWidth="1"/>
    <col min="6415" max="6415" width="33" style="20" customWidth="1"/>
    <col min="6416" max="6416" width="61.44140625" style="20" bestFit="1" customWidth="1"/>
    <col min="6417" max="6658" width="8.88671875" style="20"/>
    <col min="6659" max="6659" width="16" style="20" customWidth="1"/>
    <col min="6660" max="6660" width="12.44140625" style="20" customWidth="1"/>
    <col min="6661" max="6661" width="17.109375" style="20" customWidth="1"/>
    <col min="6662" max="6662" width="14.6640625" style="20" customWidth="1"/>
    <col min="6663" max="6663" width="22.88671875" style="20" customWidth="1"/>
    <col min="6664" max="6665" width="14.44140625" style="20" customWidth="1"/>
    <col min="6666" max="6667" width="16.44140625" style="20" bestFit="1" customWidth="1"/>
    <col min="6668" max="6669" width="16.44140625" style="20" customWidth="1"/>
    <col min="6670" max="6670" width="29.109375" style="20" customWidth="1"/>
    <col min="6671" max="6671" width="33" style="20" customWidth="1"/>
    <col min="6672" max="6672" width="61.44140625" style="20" bestFit="1" customWidth="1"/>
    <col min="6673" max="6914" width="8.88671875" style="20"/>
    <col min="6915" max="6915" width="16" style="20" customWidth="1"/>
    <col min="6916" max="6916" width="12.44140625" style="20" customWidth="1"/>
    <col min="6917" max="6917" width="17.109375" style="20" customWidth="1"/>
    <col min="6918" max="6918" width="14.6640625" style="20" customWidth="1"/>
    <col min="6919" max="6919" width="22.88671875" style="20" customWidth="1"/>
    <col min="6920" max="6921" width="14.44140625" style="20" customWidth="1"/>
    <col min="6922" max="6923" width="16.44140625" style="20" bestFit="1" customWidth="1"/>
    <col min="6924" max="6925" width="16.44140625" style="20" customWidth="1"/>
    <col min="6926" max="6926" width="29.109375" style="20" customWidth="1"/>
    <col min="6927" max="6927" width="33" style="20" customWidth="1"/>
    <col min="6928" max="6928" width="61.44140625" style="20" bestFit="1" customWidth="1"/>
    <col min="6929" max="7170" width="8.88671875" style="20"/>
    <col min="7171" max="7171" width="16" style="20" customWidth="1"/>
    <col min="7172" max="7172" width="12.44140625" style="20" customWidth="1"/>
    <col min="7173" max="7173" width="17.109375" style="20" customWidth="1"/>
    <col min="7174" max="7174" width="14.6640625" style="20" customWidth="1"/>
    <col min="7175" max="7175" width="22.88671875" style="20" customWidth="1"/>
    <col min="7176" max="7177" width="14.44140625" style="20" customWidth="1"/>
    <col min="7178" max="7179" width="16.44140625" style="20" bestFit="1" customWidth="1"/>
    <col min="7180" max="7181" width="16.44140625" style="20" customWidth="1"/>
    <col min="7182" max="7182" width="29.109375" style="20" customWidth="1"/>
    <col min="7183" max="7183" width="33" style="20" customWidth="1"/>
    <col min="7184" max="7184" width="61.44140625" style="20" bestFit="1" customWidth="1"/>
    <col min="7185" max="7426" width="8.88671875" style="20"/>
    <col min="7427" max="7427" width="16" style="20" customWidth="1"/>
    <col min="7428" max="7428" width="12.44140625" style="20" customWidth="1"/>
    <col min="7429" max="7429" width="17.109375" style="20" customWidth="1"/>
    <col min="7430" max="7430" width="14.6640625" style="20" customWidth="1"/>
    <col min="7431" max="7431" width="22.88671875" style="20" customWidth="1"/>
    <col min="7432" max="7433" width="14.44140625" style="20" customWidth="1"/>
    <col min="7434" max="7435" width="16.44140625" style="20" bestFit="1" customWidth="1"/>
    <col min="7436" max="7437" width="16.44140625" style="20" customWidth="1"/>
    <col min="7438" max="7438" width="29.109375" style="20" customWidth="1"/>
    <col min="7439" max="7439" width="33" style="20" customWidth="1"/>
    <col min="7440" max="7440" width="61.44140625" style="20" bestFit="1" customWidth="1"/>
    <col min="7441" max="7682" width="8.88671875" style="20"/>
    <col min="7683" max="7683" width="16" style="20" customWidth="1"/>
    <col min="7684" max="7684" width="12.44140625" style="20" customWidth="1"/>
    <col min="7685" max="7685" width="17.109375" style="20" customWidth="1"/>
    <col min="7686" max="7686" width="14.6640625" style="20" customWidth="1"/>
    <col min="7687" max="7687" width="22.88671875" style="20" customWidth="1"/>
    <col min="7688" max="7689" width="14.44140625" style="20" customWidth="1"/>
    <col min="7690" max="7691" width="16.44140625" style="20" bestFit="1" customWidth="1"/>
    <col min="7692" max="7693" width="16.44140625" style="20" customWidth="1"/>
    <col min="7694" max="7694" width="29.109375" style="20" customWidth="1"/>
    <col min="7695" max="7695" width="33" style="20" customWidth="1"/>
    <col min="7696" max="7696" width="61.44140625" style="20" bestFit="1" customWidth="1"/>
    <col min="7697" max="7938" width="8.88671875" style="20"/>
    <col min="7939" max="7939" width="16" style="20" customWidth="1"/>
    <col min="7940" max="7940" width="12.44140625" style="20" customWidth="1"/>
    <col min="7941" max="7941" width="17.109375" style="20" customWidth="1"/>
    <col min="7942" max="7942" width="14.6640625" style="20" customWidth="1"/>
    <col min="7943" max="7943" width="22.88671875" style="20" customWidth="1"/>
    <col min="7944" max="7945" width="14.44140625" style="20" customWidth="1"/>
    <col min="7946" max="7947" width="16.44140625" style="20" bestFit="1" customWidth="1"/>
    <col min="7948" max="7949" width="16.44140625" style="20" customWidth="1"/>
    <col min="7950" max="7950" width="29.109375" style="20" customWidth="1"/>
    <col min="7951" max="7951" width="33" style="20" customWidth="1"/>
    <col min="7952" max="7952" width="61.44140625" style="20" bestFit="1" customWidth="1"/>
    <col min="7953" max="8194" width="8.88671875" style="20"/>
    <col min="8195" max="8195" width="16" style="20" customWidth="1"/>
    <col min="8196" max="8196" width="12.44140625" style="20" customWidth="1"/>
    <col min="8197" max="8197" width="17.109375" style="20" customWidth="1"/>
    <col min="8198" max="8198" width="14.6640625" style="20" customWidth="1"/>
    <col min="8199" max="8199" width="22.88671875" style="20" customWidth="1"/>
    <col min="8200" max="8201" width="14.44140625" style="20" customWidth="1"/>
    <col min="8202" max="8203" width="16.44140625" style="20" bestFit="1" customWidth="1"/>
    <col min="8204" max="8205" width="16.44140625" style="20" customWidth="1"/>
    <col min="8206" max="8206" width="29.109375" style="20" customWidth="1"/>
    <col min="8207" max="8207" width="33" style="20" customWidth="1"/>
    <col min="8208" max="8208" width="61.44140625" style="20" bestFit="1" customWidth="1"/>
    <col min="8209" max="8450" width="8.88671875" style="20"/>
    <col min="8451" max="8451" width="16" style="20" customWidth="1"/>
    <col min="8452" max="8452" width="12.44140625" style="20" customWidth="1"/>
    <col min="8453" max="8453" width="17.109375" style="20" customWidth="1"/>
    <col min="8454" max="8454" width="14.6640625" style="20" customWidth="1"/>
    <col min="8455" max="8455" width="22.88671875" style="20" customWidth="1"/>
    <col min="8456" max="8457" width="14.44140625" style="20" customWidth="1"/>
    <col min="8458" max="8459" width="16.44140625" style="20" bestFit="1" customWidth="1"/>
    <col min="8460" max="8461" width="16.44140625" style="20" customWidth="1"/>
    <col min="8462" max="8462" width="29.109375" style="20" customWidth="1"/>
    <col min="8463" max="8463" width="33" style="20" customWidth="1"/>
    <col min="8464" max="8464" width="61.44140625" style="20" bestFit="1" customWidth="1"/>
    <col min="8465" max="8706" width="8.88671875" style="20"/>
    <col min="8707" max="8707" width="16" style="20" customWidth="1"/>
    <col min="8708" max="8708" width="12.44140625" style="20" customWidth="1"/>
    <col min="8709" max="8709" width="17.109375" style="20" customWidth="1"/>
    <col min="8710" max="8710" width="14.6640625" style="20" customWidth="1"/>
    <col min="8711" max="8711" width="22.88671875" style="20" customWidth="1"/>
    <col min="8712" max="8713" width="14.44140625" style="20" customWidth="1"/>
    <col min="8714" max="8715" width="16.44140625" style="20" bestFit="1" customWidth="1"/>
    <col min="8716" max="8717" width="16.44140625" style="20" customWidth="1"/>
    <col min="8718" max="8718" width="29.109375" style="20" customWidth="1"/>
    <col min="8719" max="8719" width="33" style="20" customWidth="1"/>
    <col min="8720" max="8720" width="61.44140625" style="20" bestFit="1" customWidth="1"/>
    <col min="8721" max="8962" width="8.88671875" style="20"/>
    <col min="8963" max="8963" width="16" style="20" customWidth="1"/>
    <col min="8964" max="8964" width="12.44140625" style="20" customWidth="1"/>
    <col min="8965" max="8965" width="17.109375" style="20" customWidth="1"/>
    <col min="8966" max="8966" width="14.6640625" style="20" customWidth="1"/>
    <col min="8967" max="8967" width="22.88671875" style="20" customWidth="1"/>
    <col min="8968" max="8969" width="14.44140625" style="20" customWidth="1"/>
    <col min="8970" max="8971" width="16.44140625" style="20" bestFit="1" customWidth="1"/>
    <col min="8972" max="8973" width="16.44140625" style="20" customWidth="1"/>
    <col min="8974" max="8974" width="29.109375" style="20" customWidth="1"/>
    <col min="8975" max="8975" width="33" style="20" customWidth="1"/>
    <col min="8976" max="8976" width="61.44140625" style="20" bestFit="1" customWidth="1"/>
    <col min="8977" max="9218" width="8.88671875" style="20"/>
    <col min="9219" max="9219" width="16" style="20" customWidth="1"/>
    <col min="9220" max="9220" width="12.44140625" style="20" customWidth="1"/>
    <col min="9221" max="9221" width="17.109375" style="20" customWidth="1"/>
    <col min="9222" max="9222" width="14.6640625" style="20" customWidth="1"/>
    <col min="9223" max="9223" width="22.88671875" style="20" customWidth="1"/>
    <col min="9224" max="9225" width="14.44140625" style="20" customWidth="1"/>
    <col min="9226" max="9227" width="16.44140625" style="20" bestFit="1" customWidth="1"/>
    <col min="9228" max="9229" width="16.44140625" style="20" customWidth="1"/>
    <col min="9230" max="9230" width="29.109375" style="20" customWidth="1"/>
    <col min="9231" max="9231" width="33" style="20" customWidth="1"/>
    <col min="9232" max="9232" width="61.44140625" style="20" bestFit="1" customWidth="1"/>
    <col min="9233" max="9474" width="8.88671875" style="20"/>
    <col min="9475" max="9475" width="16" style="20" customWidth="1"/>
    <col min="9476" max="9476" width="12.44140625" style="20" customWidth="1"/>
    <col min="9477" max="9477" width="17.109375" style="20" customWidth="1"/>
    <col min="9478" max="9478" width="14.6640625" style="20" customWidth="1"/>
    <col min="9479" max="9479" width="22.88671875" style="20" customWidth="1"/>
    <col min="9480" max="9481" width="14.44140625" style="20" customWidth="1"/>
    <col min="9482" max="9483" width="16.44140625" style="20" bestFit="1" customWidth="1"/>
    <col min="9484" max="9485" width="16.44140625" style="20" customWidth="1"/>
    <col min="9486" max="9486" width="29.109375" style="20" customWidth="1"/>
    <col min="9487" max="9487" width="33" style="20" customWidth="1"/>
    <col min="9488" max="9488" width="61.44140625" style="20" bestFit="1" customWidth="1"/>
    <col min="9489" max="9730" width="8.88671875" style="20"/>
    <col min="9731" max="9731" width="16" style="20" customWidth="1"/>
    <col min="9732" max="9732" width="12.44140625" style="20" customWidth="1"/>
    <col min="9733" max="9733" width="17.109375" style="20" customWidth="1"/>
    <col min="9734" max="9734" width="14.6640625" style="20" customWidth="1"/>
    <col min="9735" max="9735" width="22.88671875" style="20" customWidth="1"/>
    <col min="9736" max="9737" width="14.44140625" style="20" customWidth="1"/>
    <col min="9738" max="9739" width="16.44140625" style="20" bestFit="1" customWidth="1"/>
    <col min="9740" max="9741" width="16.44140625" style="20" customWidth="1"/>
    <col min="9742" max="9742" width="29.109375" style="20" customWidth="1"/>
    <col min="9743" max="9743" width="33" style="20" customWidth="1"/>
    <col min="9744" max="9744" width="61.44140625" style="20" bestFit="1" customWidth="1"/>
    <col min="9745" max="9986" width="8.88671875" style="20"/>
    <col min="9987" max="9987" width="16" style="20" customWidth="1"/>
    <col min="9988" max="9988" width="12.44140625" style="20" customWidth="1"/>
    <col min="9989" max="9989" width="17.109375" style="20" customWidth="1"/>
    <col min="9990" max="9990" width="14.6640625" style="20" customWidth="1"/>
    <col min="9991" max="9991" width="22.88671875" style="20" customWidth="1"/>
    <col min="9992" max="9993" width="14.44140625" style="20" customWidth="1"/>
    <col min="9994" max="9995" width="16.44140625" style="20" bestFit="1" customWidth="1"/>
    <col min="9996" max="9997" width="16.44140625" style="20" customWidth="1"/>
    <col min="9998" max="9998" width="29.109375" style="20" customWidth="1"/>
    <col min="9999" max="9999" width="33" style="20" customWidth="1"/>
    <col min="10000" max="10000" width="61.44140625" style="20" bestFit="1" customWidth="1"/>
    <col min="10001" max="10242" width="8.88671875" style="20"/>
    <col min="10243" max="10243" width="16" style="20" customWidth="1"/>
    <col min="10244" max="10244" width="12.44140625" style="20" customWidth="1"/>
    <col min="10245" max="10245" width="17.109375" style="20" customWidth="1"/>
    <col min="10246" max="10246" width="14.6640625" style="20" customWidth="1"/>
    <col min="10247" max="10247" width="22.88671875" style="20" customWidth="1"/>
    <col min="10248" max="10249" width="14.44140625" style="20" customWidth="1"/>
    <col min="10250" max="10251" width="16.44140625" style="20" bestFit="1" customWidth="1"/>
    <col min="10252" max="10253" width="16.44140625" style="20" customWidth="1"/>
    <col min="10254" max="10254" width="29.109375" style="20" customWidth="1"/>
    <col min="10255" max="10255" width="33" style="20" customWidth="1"/>
    <col min="10256" max="10256" width="61.44140625" style="20" bestFit="1" customWidth="1"/>
    <col min="10257" max="10498" width="8.88671875" style="20"/>
    <col min="10499" max="10499" width="16" style="20" customWidth="1"/>
    <col min="10500" max="10500" width="12.44140625" style="20" customWidth="1"/>
    <col min="10501" max="10501" width="17.109375" style="20" customWidth="1"/>
    <col min="10502" max="10502" width="14.6640625" style="20" customWidth="1"/>
    <col min="10503" max="10503" width="22.88671875" style="20" customWidth="1"/>
    <col min="10504" max="10505" width="14.44140625" style="20" customWidth="1"/>
    <col min="10506" max="10507" width="16.44140625" style="20" bestFit="1" customWidth="1"/>
    <col min="10508" max="10509" width="16.44140625" style="20" customWidth="1"/>
    <col min="10510" max="10510" width="29.109375" style="20" customWidth="1"/>
    <col min="10511" max="10511" width="33" style="20" customWidth="1"/>
    <col min="10512" max="10512" width="61.44140625" style="20" bestFit="1" customWidth="1"/>
    <col min="10513" max="10754" width="8.88671875" style="20"/>
    <col min="10755" max="10755" width="16" style="20" customWidth="1"/>
    <col min="10756" max="10756" width="12.44140625" style="20" customWidth="1"/>
    <col min="10757" max="10757" width="17.109375" style="20" customWidth="1"/>
    <col min="10758" max="10758" width="14.6640625" style="20" customWidth="1"/>
    <col min="10759" max="10759" width="22.88671875" style="20" customWidth="1"/>
    <col min="10760" max="10761" width="14.44140625" style="20" customWidth="1"/>
    <col min="10762" max="10763" width="16.44140625" style="20" bestFit="1" customWidth="1"/>
    <col min="10764" max="10765" width="16.44140625" style="20" customWidth="1"/>
    <col min="10766" max="10766" width="29.109375" style="20" customWidth="1"/>
    <col min="10767" max="10767" width="33" style="20" customWidth="1"/>
    <col min="10768" max="10768" width="61.44140625" style="20" bestFit="1" customWidth="1"/>
    <col min="10769" max="11010" width="8.88671875" style="20"/>
    <col min="11011" max="11011" width="16" style="20" customWidth="1"/>
    <col min="11012" max="11012" width="12.44140625" style="20" customWidth="1"/>
    <col min="11013" max="11013" width="17.109375" style="20" customWidth="1"/>
    <col min="11014" max="11014" width="14.6640625" style="20" customWidth="1"/>
    <col min="11015" max="11015" width="22.88671875" style="20" customWidth="1"/>
    <col min="11016" max="11017" width="14.44140625" style="20" customWidth="1"/>
    <col min="11018" max="11019" width="16.44140625" style="20" bestFit="1" customWidth="1"/>
    <col min="11020" max="11021" width="16.44140625" style="20" customWidth="1"/>
    <col min="11022" max="11022" width="29.109375" style="20" customWidth="1"/>
    <col min="11023" max="11023" width="33" style="20" customWidth="1"/>
    <col min="11024" max="11024" width="61.44140625" style="20" bestFit="1" customWidth="1"/>
    <col min="11025" max="11266" width="8.88671875" style="20"/>
    <col min="11267" max="11267" width="16" style="20" customWidth="1"/>
    <col min="11268" max="11268" width="12.44140625" style="20" customWidth="1"/>
    <col min="11269" max="11269" width="17.109375" style="20" customWidth="1"/>
    <col min="11270" max="11270" width="14.6640625" style="20" customWidth="1"/>
    <col min="11271" max="11271" width="22.88671875" style="20" customWidth="1"/>
    <col min="11272" max="11273" width="14.44140625" style="20" customWidth="1"/>
    <col min="11274" max="11275" width="16.44140625" style="20" bestFit="1" customWidth="1"/>
    <col min="11276" max="11277" width="16.44140625" style="20" customWidth="1"/>
    <col min="11278" max="11278" width="29.109375" style="20" customWidth="1"/>
    <col min="11279" max="11279" width="33" style="20" customWidth="1"/>
    <col min="11280" max="11280" width="61.44140625" style="20" bestFit="1" customWidth="1"/>
    <col min="11281" max="11522" width="8.88671875" style="20"/>
    <col min="11523" max="11523" width="16" style="20" customWidth="1"/>
    <col min="11524" max="11524" width="12.44140625" style="20" customWidth="1"/>
    <col min="11525" max="11525" width="17.109375" style="20" customWidth="1"/>
    <col min="11526" max="11526" width="14.6640625" style="20" customWidth="1"/>
    <col min="11527" max="11527" width="22.88671875" style="20" customWidth="1"/>
    <col min="11528" max="11529" width="14.44140625" style="20" customWidth="1"/>
    <col min="11530" max="11531" width="16.44140625" style="20" bestFit="1" customWidth="1"/>
    <col min="11532" max="11533" width="16.44140625" style="20" customWidth="1"/>
    <col min="11534" max="11534" width="29.109375" style="20" customWidth="1"/>
    <col min="11535" max="11535" width="33" style="20" customWidth="1"/>
    <col min="11536" max="11536" width="61.44140625" style="20" bestFit="1" customWidth="1"/>
    <col min="11537" max="11778" width="8.88671875" style="20"/>
    <col min="11779" max="11779" width="16" style="20" customWidth="1"/>
    <col min="11780" max="11780" width="12.44140625" style="20" customWidth="1"/>
    <col min="11781" max="11781" width="17.109375" style="20" customWidth="1"/>
    <col min="11782" max="11782" width="14.6640625" style="20" customWidth="1"/>
    <col min="11783" max="11783" width="22.88671875" style="20" customWidth="1"/>
    <col min="11784" max="11785" width="14.44140625" style="20" customWidth="1"/>
    <col min="11786" max="11787" width="16.44140625" style="20" bestFit="1" customWidth="1"/>
    <col min="11788" max="11789" width="16.44140625" style="20" customWidth="1"/>
    <col min="11790" max="11790" width="29.109375" style="20" customWidth="1"/>
    <col min="11791" max="11791" width="33" style="20" customWidth="1"/>
    <col min="11792" max="11792" width="61.44140625" style="20" bestFit="1" customWidth="1"/>
    <col min="11793" max="12034" width="8.88671875" style="20"/>
    <col min="12035" max="12035" width="16" style="20" customWidth="1"/>
    <col min="12036" max="12036" width="12.44140625" style="20" customWidth="1"/>
    <col min="12037" max="12037" width="17.109375" style="20" customWidth="1"/>
    <col min="12038" max="12038" width="14.6640625" style="20" customWidth="1"/>
    <col min="12039" max="12039" width="22.88671875" style="20" customWidth="1"/>
    <col min="12040" max="12041" width="14.44140625" style="20" customWidth="1"/>
    <col min="12042" max="12043" width="16.44140625" style="20" bestFit="1" customWidth="1"/>
    <col min="12044" max="12045" width="16.44140625" style="20" customWidth="1"/>
    <col min="12046" max="12046" width="29.109375" style="20" customWidth="1"/>
    <col min="12047" max="12047" width="33" style="20" customWidth="1"/>
    <col min="12048" max="12048" width="61.44140625" style="20" bestFit="1" customWidth="1"/>
    <col min="12049" max="12290" width="8.88671875" style="20"/>
    <col min="12291" max="12291" width="16" style="20" customWidth="1"/>
    <col min="12292" max="12292" width="12.44140625" style="20" customWidth="1"/>
    <col min="12293" max="12293" width="17.109375" style="20" customWidth="1"/>
    <col min="12294" max="12294" width="14.6640625" style="20" customWidth="1"/>
    <col min="12295" max="12295" width="22.88671875" style="20" customWidth="1"/>
    <col min="12296" max="12297" width="14.44140625" style="20" customWidth="1"/>
    <col min="12298" max="12299" width="16.44140625" style="20" bestFit="1" customWidth="1"/>
    <col min="12300" max="12301" width="16.44140625" style="20" customWidth="1"/>
    <col min="12302" max="12302" width="29.109375" style="20" customWidth="1"/>
    <col min="12303" max="12303" width="33" style="20" customWidth="1"/>
    <col min="12304" max="12304" width="61.44140625" style="20" bestFit="1" customWidth="1"/>
    <col min="12305" max="12546" width="8.88671875" style="20"/>
    <col min="12547" max="12547" width="16" style="20" customWidth="1"/>
    <col min="12548" max="12548" width="12.44140625" style="20" customWidth="1"/>
    <col min="12549" max="12549" width="17.109375" style="20" customWidth="1"/>
    <col min="12550" max="12550" width="14.6640625" style="20" customWidth="1"/>
    <col min="12551" max="12551" width="22.88671875" style="20" customWidth="1"/>
    <col min="12552" max="12553" width="14.44140625" style="20" customWidth="1"/>
    <col min="12554" max="12555" width="16.44140625" style="20" bestFit="1" customWidth="1"/>
    <col min="12556" max="12557" width="16.44140625" style="20" customWidth="1"/>
    <col min="12558" max="12558" width="29.109375" style="20" customWidth="1"/>
    <col min="12559" max="12559" width="33" style="20" customWidth="1"/>
    <col min="12560" max="12560" width="61.44140625" style="20" bestFit="1" customWidth="1"/>
    <col min="12561" max="12802" width="8.88671875" style="20"/>
    <col min="12803" max="12803" width="16" style="20" customWidth="1"/>
    <col min="12804" max="12804" width="12.44140625" style="20" customWidth="1"/>
    <col min="12805" max="12805" width="17.109375" style="20" customWidth="1"/>
    <col min="12806" max="12806" width="14.6640625" style="20" customWidth="1"/>
    <col min="12807" max="12807" width="22.88671875" style="20" customWidth="1"/>
    <col min="12808" max="12809" width="14.44140625" style="20" customWidth="1"/>
    <col min="12810" max="12811" width="16.44140625" style="20" bestFit="1" customWidth="1"/>
    <col min="12812" max="12813" width="16.44140625" style="20" customWidth="1"/>
    <col min="12814" max="12814" width="29.109375" style="20" customWidth="1"/>
    <col min="12815" max="12815" width="33" style="20" customWidth="1"/>
    <col min="12816" max="12816" width="61.44140625" style="20" bestFit="1" customWidth="1"/>
    <col min="12817" max="13058" width="8.88671875" style="20"/>
    <col min="13059" max="13059" width="16" style="20" customWidth="1"/>
    <col min="13060" max="13060" width="12.44140625" style="20" customWidth="1"/>
    <col min="13061" max="13061" width="17.109375" style="20" customWidth="1"/>
    <col min="13062" max="13062" width="14.6640625" style="20" customWidth="1"/>
    <col min="13063" max="13063" width="22.88671875" style="20" customWidth="1"/>
    <col min="13064" max="13065" width="14.44140625" style="20" customWidth="1"/>
    <col min="13066" max="13067" width="16.44140625" style="20" bestFit="1" customWidth="1"/>
    <col min="13068" max="13069" width="16.44140625" style="20" customWidth="1"/>
    <col min="13070" max="13070" width="29.109375" style="20" customWidth="1"/>
    <col min="13071" max="13071" width="33" style="20" customWidth="1"/>
    <col min="13072" max="13072" width="61.44140625" style="20" bestFit="1" customWidth="1"/>
    <col min="13073" max="13314" width="8.88671875" style="20"/>
    <col min="13315" max="13315" width="16" style="20" customWidth="1"/>
    <col min="13316" max="13316" width="12.44140625" style="20" customWidth="1"/>
    <col min="13317" max="13317" width="17.109375" style="20" customWidth="1"/>
    <col min="13318" max="13318" width="14.6640625" style="20" customWidth="1"/>
    <col min="13319" max="13319" width="22.88671875" style="20" customWidth="1"/>
    <col min="13320" max="13321" width="14.44140625" style="20" customWidth="1"/>
    <col min="13322" max="13323" width="16.44140625" style="20" bestFit="1" customWidth="1"/>
    <col min="13324" max="13325" width="16.44140625" style="20" customWidth="1"/>
    <col min="13326" max="13326" width="29.109375" style="20" customWidth="1"/>
    <col min="13327" max="13327" width="33" style="20" customWidth="1"/>
    <col min="13328" max="13328" width="61.44140625" style="20" bestFit="1" customWidth="1"/>
    <col min="13329" max="13570" width="8.88671875" style="20"/>
    <col min="13571" max="13571" width="16" style="20" customWidth="1"/>
    <col min="13572" max="13572" width="12.44140625" style="20" customWidth="1"/>
    <col min="13573" max="13573" width="17.109375" style="20" customWidth="1"/>
    <col min="13574" max="13574" width="14.6640625" style="20" customWidth="1"/>
    <col min="13575" max="13575" width="22.88671875" style="20" customWidth="1"/>
    <col min="13576" max="13577" width="14.44140625" style="20" customWidth="1"/>
    <col min="13578" max="13579" width="16.44140625" style="20" bestFit="1" customWidth="1"/>
    <col min="13580" max="13581" width="16.44140625" style="20" customWidth="1"/>
    <col min="13582" max="13582" width="29.109375" style="20" customWidth="1"/>
    <col min="13583" max="13583" width="33" style="20" customWidth="1"/>
    <col min="13584" max="13584" width="61.44140625" style="20" bestFit="1" customWidth="1"/>
    <col min="13585" max="13826" width="8.88671875" style="20"/>
    <col min="13827" max="13827" width="16" style="20" customWidth="1"/>
    <col min="13828" max="13828" width="12.44140625" style="20" customWidth="1"/>
    <col min="13829" max="13829" width="17.109375" style="20" customWidth="1"/>
    <col min="13830" max="13830" width="14.6640625" style="20" customWidth="1"/>
    <col min="13831" max="13831" width="22.88671875" style="20" customWidth="1"/>
    <col min="13832" max="13833" width="14.44140625" style="20" customWidth="1"/>
    <col min="13834" max="13835" width="16.44140625" style="20" bestFit="1" customWidth="1"/>
    <col min="13836" max="13837" width="16.44140625" style="20" customWidth="1"/>
    <col min="13838" max="13838" width="29.109375" style="20" customWidth="1"/>
    <col min="13839" max="13839" width="33" style="20" customWidth="1"/>
    <col min="13840" max="13840" width="61.44140625" style="20" bestFit="1" customWidth="1"/>
    <col min="13841" max="14082" width="8.88671875" style="20"/>
    <col min="14083" max="14083" width="16" style="20" customWidth="1"/>
    <col min="14084" max="14084" width="12.44140625" style="20" customWidth="1"/>
    <col min="14085" max="14085" width="17.109375" style="20" customWidth="1"/>
    <col min="14086" max="14086" width="14.6640625" style="20" customWidth="1"/>
    <col min="14087" max="14087" width="22.88671875" style="20" customWidth="1"/>
    <col min="14088" max="14089" width="14.44140625" style="20" customWidth="1"/>
    <col min="14090" max="14091" width="16.44140625" style="20" bestFit="1" customWidth="1"/>
    <col min="14092" max="14093" width="16.44140625" style="20" customWidth="1"/>
    <col min="14094" max="14094" width="29.109375" style="20" customWidth="1"/>
    <col min="14095" max="14095" width="33" style="20" customWidth="1"/>
    <col min="14096" max="14096" width="61.44140625" style="20" bestFit="1" customWidth="1"/>
    <col min="14097" max="14338" width="8.88671875" style="20"/>
    <col min="14339" max="14339" width="16" style="20" customWidth="1"/>
    <col min="14340" max="14340" width="12.44140625" style="20" customWidth="1"/>
    <col min="14341" max="14341" width="17.109375" style="20" customWidth="1"/>
    <col min="14342" max="14342" width="14.6640625" style="20" customWidth="1"/>
    <col min="14343" max="14343" width="22.88671875" style="20" customWidth="1"/>
    <col min="14344" max="14345" width="14.44140625" style="20" customWidth="1"/>
    <col min="14346" max="14347" width="16.44140625" style="20" bestFit="1" customWidth="1"/>
    <col min="14348" max="14349" width="16.44140625" style="20" customWidth="1"/>
    <col min="14350" max="14350" width="29.109375" style="20" customWidth="1"/>
    <col min="14351" max="14351" width="33" style="20" customWidth="1"/>
    <col min="14352" max="14352" width="61.44140625" style="20" bestFit="1" customWidth="1"/>
    <col min="14353" max="14594" width="8.88671875" style="20"/>
    <col min="14595" max="14595" width="16" style="20" customWidth="1"/>
    <col min="14596" max="14596" width="12.44140625" style="20" customWidth="1"/>
    <col min="14597" max="14597" width="17.109375" style="20" customWidth="1"/>
    <col min="14598" max="14598" width="14.6640625" style="20" customWidth="1"/>
    <col min="14599" max="14599" width="22.88671875" style="20" customWidth="1"/>
    <col min="14600" max="14601" width="14.44140625" style="20" customWidth="1"/>
    <col min="14602" max="14603" width="16.44140625" style="20" bestFit="1" customWidth="1"/>
    <col min="14604" max="14605" width="16.44140625" style="20" customWidth="1"/>
    <col min="14606" max="14606" width="29.109375" style="20" customWidth="1"/>
    <col min="14607" max="14607" width="33" style="20" customWidth="1"/>
    <col min="14608" max="14608" width="61.44140625" style="20" bestFit="1" customWidth="1"/>
    <col min="14609" max="14850" width="8.88671875" style="20"/>
    <col min="14851" max="14851" width="16" style="20" customWidth="1"/>
    <col min="14852" max="14852" width="12.44140625" style="20" customWidth="1"/>
    <col min="14853" max="14853" width="17.109375" style="20" customWidth="1"/>
    <col min="14854" max="14854" width="14.6640625" style="20" customWidth="1"/>
    <col min="14855" max="14855" width="22.88671875" style="20" customWidth="1"/>
    <col min="14856" max="14857" width="14.44140625" style="20" customWidth="1"/>
    <col min="14858" max="14859" width="16.44140625" style="20" bestFit="1" customWidth="1"/>
    <col min="14860" max="14861" width="16.44140625" style="20" customWidth="1"/>
    <col min="14862" max="14862" width="29.109375" style="20" customWidth="1"/>
    <col min="14863" max="14863" width="33" style="20" customWidth="1"/>
    <col min="14864" max="14864" width="61.44140625" style="20" bestFit="1" customWidth="1"/>
    <col min="14865" max="15106" width="8.88671875" style="20"/>
    <col min="15107" max="15107" width="16" style="20" customWidth="1"/>
    <col min="15108" max="15108" width="12.44140625" style="20" customWidth="1"/>
    <col min="15109" max="15109" width="17.109375" style="20" customWidth="1"/>
    <col min="15110" max="15110" width="14.6640625" style="20" customWidth="1"/>
    <col min="15111" max="15111" width="22.88671875" style="20" customWidth="1"/>
    <col min="15112" max="15113" width="14.44140625" style="20" customWidth="1"/>
    <col min="15114" max="15115" width="16.44140625" style="20" bestFit="1" customWidth="1"/>
    <col min="15116" max="15117" width="16.44140625" style="20" customWidth="1"/>
    <col min="15118" max="15118" width="29.109375" style="20" customWidth="1"/>
    <col min="15119" max="15119" width="33" style="20" customWidth="1"/>
    <col min="15120" max="15120" width="61.44140625" style="20" bestFit="1" customWidth="1"/>
    <col min="15121" max="15362" width="8.88671875" style="20"/>
    <col min="15363" max="15363" width="16" style="20" customWidth="1"/>
    <col min="15364" max="15364" width="12.44140625" style="20" customWidth="1"/>
    <col min="15365" max="15365" width="17.109375" style="20" customWidth="1"/>
    <col min="15366" max="15366" width="14.6640625" style="20" customWidth="1"/>
    <col min="15367" max="15367" width="22.88671875" style="20" customWidth="1"/>
    <col min="15368" max="15369" width="14.44140625" style="20" customWidth="1"/>
    <col min="15370" max="15371" width="16.44140625" style="20" bestFit="1" customWidth="1"/>
    <col min="15372" max="15373" width="16.44140625" style="20" customWidth="1"/>
    <col min="15374" max="15374" width="29.109375" style="20" customWidth="1"/>
    <col min="15375" max="15375" width="33" style="20" customWidth="1"/>
    <col min="15376" max="15376" width="61.44140625" style="20" bestFit="1" customWidth="1"/>
    <col min="15377" max="15618" width="8.88671875" style="20"/>
    <col min="15619" max="15619" width="16" style="20" customWidth="1"/>
    <col min="15620" max="15620" width="12.44140625" style="20" customWidth="1"/>
    <col min="15621" max="15621" width="17.109375" style="20" customWidth="1"/>
    <col min="15622" max="15622" width="14.6640625" style="20" customWidth="1"/>
    <col min="15623" max="15623" width="22.88671875" style="20" customWidth="1"/>
    <col min="15624" max="15625" width="14.44140625" style="20" customWidth="1"/>
    <col min="15626" max="15627" width="16.44140625" style="20" bestFit="1" customWidth="1"/>
    <col min="15628" max="15629" width="16.44140625" style="20" customWidth="1"/>
    <col min="15630" max="15630" width="29.109375" style="20" customWidth="1"/>
    <col min="15631" max="15631" width="33" style="20" customWidth="1"/>
    <col min="15632" max="15632" width="61.44140625" style="20" bestFit="1" customWidth="1"/>
    <col min="15633" max="15874" width="8.88671875" style="20"/>
    <col min="15875" max="15875" width="16" style="20" customWidth="1"/>
    <col min="15876" max="15876" width="12.44140625" style="20" customWidth="1"/>
    <col min="15877" max="15877" width="17.109375" style="20" customWidth="1"/>
    <col min="15878" max="15878" width="14.6640625" style="20" customWidth="1"/>
    <col min="15879" max="15879" width="22.88671875" style="20" customWidth="1"/>
    <col min="15880" max="15881" width="14.44140625" style="20" customWidth="1"/>
    <col min="15882" max="15883" width="16.44140625" style="20" bestFit="1" customWidth="1"/>
    <col min="15884" max="15885" width="16.44140625" style="20" customWidth="1"/>
    <col min="15886" max="15886" width="29.109375" style="20" customWidth="1"/>
    <col min="15887" max="15887" width="33" style="20" customWidth="1"/>
    <col min="15888" max="15888" width="61.44140625" style="20" bestFit="1" customWidth="1"/>
    <col min="15889" max="16130" width="8.88671875" style="20"/>
    <col min="16131" max="16131" width="16" style="20" customWidth="1"/>
    <col min="16132" max="16132" width="12.44140625" style="20" customWidth="1"/>
    <col min="16133" max="16133" width="17.109375" style="20" customWidth="1"/>
    <col min="16134" max="16134" width="14.6640625" style="20" customWidth="1"/>
    <col min="16135" max="16135" width="22.88671875" style="20" customWidth="1"/>
    <col min="16136" max="16137" width="14.44140625" style="20" customWidth="1"/>
    <col min="16138" max="16139" width="16.44140625" style="20" bestFit="1" customWidth="1"/>
    <col min="16140" max="16141" width="16.44140625" style="20" customWidth="1"/>
    <col min="16142" max="16142" width="29.109375" style="20" customWidth="1"/>
    <col min="16143" max="16143" width="33" style="20" customWidth="1"/>
    <col min="16144" max="16144" width="61.44140625" style="20" bestFit="1" customWidth="1"/>
    <col min="16145" max="16384" width="8.88671875" style="20"/>
  </cols>
  <sheetData>
    <row r="1" spans="1:18" ht="14.4">
      <c r="O1" s="75" t="s">
        <v>131</v>
      </c>
    </row>
    <row r="3" spans="1:18" ht="31.2">
      <c r="H3" s="71" t="s">
        <v>108</v>
      </c>
    </row>
    <row r="4" spans="1:18">
      <c r="F4" s="147" t="s">
        <v>348</v>
      </c>
      <c r="G4" s="147"/>
    </row>
    <row r="5" spans="1:18">
      <c r="F5" s="147" t="s">
        <v>275</v>
      </c>
      <c r="G5" s="147"/>
    </row>
    <row r="8" spans="1:18" s="145" customFormat="1" ht="14.4">
      <c r="H8" s="146"/>
      <c r="I8"/>
      <c r="J8"/>
      <c r="K8"/>
      <c r="L8"/>
      <c r="M8" s="146"/>
      <c r="P8" s="169"/>
      <c r="Q8" s="169"/>
      <c r="R8" s="169"/>
    </row>
    <row r="9" spans="1:18" s="142" customFormat="1" ht="42" thickBot="1">
      <c r="A9" s="142" t="s">
        <v>273</v>
      </c>
      <c r="B9" s="142" t="s">
        <v>274</v>
      </c>
      <c r="C9" s="142" t="s">
        <v>272</v>
      </c>
      <c r="D9" s="142" t="s">
        <v>270</v>
      </c>
      <c r="E9" s="142" t="s">
        <v>271</v>
      </c>
      <c r="F9" s="142" t="s">
        <v>359</v>
      </c>
      <c r="G9" s="142" t="s">
        <v>360</v>
      </c>
      <c r="H9" s="194" t="s">
        <v>326</v>
      </c>
      <c r="I9" s="195" t="s">
        <v>327</v>
      </c>
      <c r="J9" s="195" t="s">
        <v>267</v>
      </c>
      <c r="K9" s="194" t="s">
        <v>268</v>
      </c>
      <c r="L9" s="194" t="s">
        <v>269</v>
      </c>
      <c r="M9" s="194" t="s">
        <v>335</v>
      </c>
      <c r="N9" s="142" t="s">
        <v>341</v>
      </c>
      <c r="O9" s="142" t="s">
        <v>342</v>
      </c>
      <c r="P9" s="196" t="s">
        <v>343</v>
      </c>
      <c r="Q9" s="196" t="s">
        <v>344</v>
      </c>
      <c r="R9" s="196" t="s">
        <v>345</v>
      </c>
    </row>
    <row r="10" spans="1:18" s="23" customFormat="1" ht="12.75" customHeight="1">
      <c r="A10" s="222" t="s">
        <v>78</v>
      </c>
      <c r="B10" s="224" t="s">
        <v>79</v>
      </c>
      <c r="C10" s="224" t="s">
        <v>109</v>
      </c>
      <c r="D10" s="224" t="s">
        <v>80</v>
      </c>
      <c r="E10" s="224" t="s">
        <v>7</v>
      </c>
      <c r="F10" s="229" t="s">
        <v>114</v>
      </c>
      <c r="G10" s="221" t="s">
        <v>262</v>
      </c>
      <c r="H10" s="226" t="s">
        <v>260</v>
      </c>
      <c r="I10" s="227"/>
      <c r="J10" s="228"/>
      <c r="K10" s="218" t="s">
        <v>261</v>
      </c>
      <c r="L10" s="219"/>
      <c r="M10" s="220"/>
      <c r="N10" s="216" t="s">
        <v>116</v>
      </c>
      <c r="O10" s="217"/>
      <c r="P10" s="172" t="s">
        <v>264</v>
      </c>
      <c r="Q10" s="172" t="s">
        <v>265</v>
      </c>
      <c r="R10" s="172" t="s">
        <v>266</v>
      </c>
    </row>
    <row r="11" spans="1:18" s="23" customFormat="1" ht="15" customHeight="1">
      <c r="A11" s="223"/>
      <c r="B11" s="225"/>
      <c r="C11" s="225"/>
      <c r="D11" s="225"/>
      <c r="E11" s="225"/>
      <c r="F11" s="230"/>
      <c r="G11" s="221"/>
      <c r="H11" s="202" t="s">
        <v>263</v>
      </c>
      <c r="I11" s="202" t="s">
        <v>2</v>
      </c>
      <c r="J11" s="202" t="s">
        <v>105</v>
      </c>
      <c r="K11" s="203" t="s">
        <v>13</v>
      </c>
      <c r="L11" s="203" t="s">
        <v>2</v>
      </c>
      <c r="M11" s="203" t="s">
        <v>105</v>
      </c>
      <c r="N11" s="204" t="s">
        <v>117</v>
      </c>
      <c r="O11" s="205" t="s">
        <v>118</v>
      </c>
      <c r="P11" s="172"/>
      <c r="Q11" s="172"/>
      <c r="R11" s="172"/>
    </row>
    <row r="12" spans="1:18" s="46" customFormat="1" ht="33" customHeight="1">
      <c r="A12" s="206" t="s">
        <v>346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</row>
    <row r="13" spans="1:18" s="46" customFormat="1" ht="33" customHeight="1">
      <c r="A13" s="206" t="s">
        <v>347</v>
      </c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</row>
    <row r="14" spans="1:18" s="46" customFormat="1" ht="33" customHeight="1">
      <c r="A14" s="207" t="s">
        <v>85</v>
      </c>
      <c r="B14" s="208" t="s">
        <v>85</v>
      </c>
      <c r="C14" s="208"/>
      <c r="D14" s="209" t="s">
        <v>87</v>
      </c>
      <c r="E14" s="210" t="s">
        <v>86</v>
      </c>
      <c r="F14" s="211" t="str">
        <f>VLOOKUP($D14,'[1]2018'!$D$27:$M$325,2,0)</f>
        <v>Jan - Feb</v>
      </c>
      <c r="G14" s="211"/>
      <c r="H14" s="212">
        <v>100000</v>
      </c>
      <c r="I14" s="212">
        <v>70000</v>
      </c>
      <c r="J14" s="212">
        <f>H14-I14</f>
        <v>30000</v>
      </c>
      <c r="K14" s="212">
        <v>50000</v>
      </c>
      <c r="L14" s="213">
        <v>2000</v>
      </c>
      <c r="M14" s="213">
        <f>K14-L14</f>
        <v>48000</v>
      </c>
      <c r="N14" s="197"/>
      <c r="O14" s="197"/>
      <c r="P14" s="198">
        <f>I14/H14</f>
        <v>0.7</v>
      </c>
      <c r="Q14" s="199">
        <f>K14*P14</f>
        <v>35000</v>
      </c>
      <c r="R14" s="199">
        <f>(Q14)-L14</f>
        <v>33000</v>
      </c>
    </row>
    <row r="15" spans="1:18" s="46" customFormat="1" ht="33" customHeight="1">
      <c r="A15" s="207" t="s">
        <v>85</v>
      </c>
      <c r="B15" s="208" t="s">
        <v>85</v>
      </c>
      <c r="C15" s="208"/>
      <c r="D15" s="209" t="s">
        <v>89</v>
      </c>
      <c r="E15" s="210" t="s">
        <v>88</v>
      </c>
      <c r="F15" s="211" t="str">
        <f>VLOOKUP($D15,'[1]2018'!$D$27:$M$325,2,0)</f>
        <v>Apr  - May</v>
      </c>
      <c r="G15" s="211"/>
      <c r="H15" s="212"/>
      <c r="I15" s="212"/>
      <c r="J15" s="212">
        <f>H15-I15</f>
        <v>0</v>
      </c>
      <c r="K15" s="212"/>
      <c r="L15" s="213"/>
      <c r="M15" s="213">
        <f t="shared" ref="M15:M16" si="0">K15-L15</f>
        <v>0</v>
      </c>
      <c r="N15" s="197"/>
      <c r="O15" s="197"/>
      <c r="P15" s="200"/>
      <c r="Q15" s="201"/>
      <c r="R15" s="201"/>
    </row>
    <row r="16" spans="1:18" s="46" customFormat="1" ht="33" customHeight="1">
      <c r="A16" s="207" t="s">
        <v>85</v>
      </c>
      <c r="B16" s="208" t="s">
        <v>85</v>
      </c>
      <c r="C16" s="208"/>
      <c r="D16" s="209" t="s">
        <v>91</v>
      </c>
      <c r="E16" s="210" t="s">
        <v>90</v>
      </c>
      <c r="F16" s="211" t="str">
        <f>VLOOKUP($D16,'[1]2018'!$D$27:$M$325,2,0)</f>
        <v>Mar - Jul</v>
      </c>
      <c r="G16" s="211"/>
      <c r="H16" s="214"/>
      <c r="I16" s="214"/>
      <c r="J16" s="212"/>
      <c r="K16" s="212"/>
      <c r="L16" s="213"/>
      <c r="M16" s="213">
        <f t="shared" si="0"/>
        <v>0</v>
      </c>
      <c r="N16" s="197"/>
      <c r="O16" s="197"/>
      <c r="P16" s="200"/>
      <c r="Q16" s="201"/>
      <c r="R16" s="201"/>
    </row>
    <row r="17" spans="1:18" s="68" customFormat="1" ht="33" customHeight="1">
      <c r="A17" s="37"/>
      <c r="B17" s="38"/>
      <c r="C17" s="38"/>
      <c r="D17" s="40"/>
      <c r="E17" s="39"/>
      <c r="F17" s="41"/>
      <c r="G17" s="41"/>
      <c r="H17" s="64"/>
      <c r="I17" s="64"/>
      <c r="J17" s="64"/>
      <c r="K17" s="64"/>
      <c r="L17" s="65"/>
      <c r="M17" s="65"/>
      <c r="N17" s="66"/>
      <c r="O17" s="66"/>
      <c r="P17" s="170"/>
      <c r="Q17" s="171"/>
      <c r="R17" s="171"/>
    </row>
  </sheetData>
  <mergeCells count="10">
    <mergeCell ref="N10:O10"/>
    <mergeCell ref="K10:M10"/>
    <mergeCell ref="G10:G11"/>
    <mergeCell ref="A10:A11"/>
    <mergeCell ref="B10:B11"/>
    <mergeCell ref="H10:J10"/>
    <mergeCell ref="C10:C11"/>
    <mergeCell ref="E10:E11"/>
    <mergeCell ref="D10:D11"/>
    <mergeCell ref="F10:F11"/>
  </mergeCells>
  <hyperlinks>
    <hyperlink ref="O1" location="'List of reports'!A1" display="Trở về" xr:uid="{00000000-0004-0000-0200-000000000000}"/>
  </hyperlinks>
  <pageMargins left="0.28000000000000003" right="0.17" top="0.42" bottom="0.23" header="0.3" footer="0.17"/>
  <pageSetup scale="80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zoomScale="85" zoomScaleNormal="85" workbookViewId="0">
      <selection activeCell="C18" sqref="C18"/>
    </sheetView>
  </sheetViews>
  <sheetFormatPr defaultColWidth="8.88671875" defaultRowHeight="13.8"/>
  <cols>
    <col min="1" max="3" width="16" style="16" customWidth="1"/>
    <col min="4" max="4" width="15.44140625" style="17" customWidth="1"/>
    <col min="5" max="5" width="12.44140625" style="17" customWidth="1"/>
    <col min="6" max="6" width="14.6640625" style="17" customWidth="1"/>
    <col min="7" max="7" width="17.109375" style="17" customWidth="1"/>
    <col min="8" max="8" width="14.44140625" style="18" customWidth="1"/>
    <col min="9" max="10" width="16.44140625" style="18" bestFit="1" customWidth="1"/>
    <col min="11" max="12" width="16.44140625" style="19" customWidth="1"/>
    <col min="13" max="13" width="61.44140625" style="20" bestFit="1" customWidth="1"/>
    <col min="14" max="255" width="8.88671875" style="20"/>
    <col min="256" max="256" width="16" style="20" customWidth="1"/>
    <col min="257" max="257" width="12.44140625" style="20" customWidth="1"/>
    <col min="258" max="258" width="17.109375" style="20" customWidth="1"/>
    <col min="259" max="259" width="14.6640625" style="20" customWidth="1"/>
    <col min="260" max="260" width="22.88671875" style="20" customWidth="1"/>
    <col min="261" max="262" width="14.44140625" style="20" customWidth="1"/>
    <col min="263" max="264" width="16.44140625" style="20" bestFit="1" customWidth="1"/>
    <col min="265" max="266" width="16.44140625" style="20" customWidth="1"/>
    <col min="267" max="267" width="29.109375" style="20" customWidth="1"/>
    <col min="268" max="268" width="33" style="20" customWidth="1"/>
    <col min="269" max="269" width="61.44140625" style="20" bestFit="1" customWidth="1"/>
    <col min="270" max="511" width="8.88671875" style="20"/>
    <col min="512" max="512" width="16" style="20" customWidth="1"/>
    <col min="513" max="513" width="12.44140625" style="20" customWidth="1"/>
    <col min="514" max="514" width="17.109375" style="20" customWidth="1"/>
    <col min="515" max="515" width="14.6640625" style="20" customWidth="1"/>
    <col min="516" max="516" width="22.88671875" style="20" customWidth="1"/>
    <col min="517" max="518" width="14.44140625" style="20" customWidth="1"/>
    <col min="519" max="520" width="16.44140625" style="20" bestFit="1" customWidth="1"/>
    <col min="521" max="522" width="16.44140625" style="20" customWidth="1"/>
    <col min="523" max="523" width="29.109375" style="20" customWidth="1"/>
    <col min="524" max="524" width="33" style="20" customWidth="1"/>
    <col min="525" max="525" width="61.44140625" style="20" bestFit="1" customWidth="1"/>
    <col min="526" max="767" width="8.88671875" style="20"/>
    <col min="768" max="768" width="16" style="20" customWidth="1"/>
    <col min="769" max="769" width="12.44140625" style="20" customWidth="1"/>
    <col min="770" max="770" width="17.109375" style="20" customWidth="1"/>
    <col min="771" max="771" width="14.6640625" style="20" customWidth="1"/>
    <col min="772" max="772" width="22.88671875" style="20" customWidth="1"/>
    <col min="773" max="774" width="14.44140625" style="20" customWidth="1"/>
    <col min="775" max="776" width="16.44140625" style="20" bestFit="1" customWidth="1"/>
    <col min="777" max="778" width="16.44140625" style="20" customWidth="1"/>
    <col min="779" max="779" width="29.109375" style="20" customWidth="1"/>
    <col min="780" max="780" width="33" style="20" customWidth="1"/>
    <col min="781" max="781" width="61.44140625" style="20" bestFit="1" customWidth="1"/>
    <col min="782" max="1023" width="8.88671875" style="20"/>
    <col min="1024" max="1024" width="16" style="20" customWidth="1"/>
    <col min="1025" max="1025" width="12.44140625" style="20" customWidth="1"/>
    <col min="1026" max="1026" width="17.109375" style="20" customWidth="1"/>
    <col min="1027" max="1027" width="14.6640625" style="20" customWidth="1"/>
    <col min="1028" max="1028" width="22.88671875" style="20" customWidth="1"/>
    <col min="1029" max="1030" width="14.44140625" style="20" customWidth="1"/>
    <col min="1031" max="1032" width="16.44140625" style="20" bestFit="1" customWidth="1"/>
    <col min="1033" max="1034" width="16.44140625" style="20" customWidth="1"/>
    <col min="1035" max="1035" width="29.109375" style="20" customWidth="1"/>
    <col min="1036" max="1036" width="33" style="20" customWidth="1"/>
    <col min="1037" max="1037" width="61.44140625" style="20" bestFit="1" customWidth="1"/>
    <col min="1038" max="1279" width="8.88671875" style="20"/>
    <col min="1280" max="1280" width="16" style="20" customWidth="1"/>
    <col min="1281" max="1281" width="12.44140625" style="20" customWidth="1"/>
    <col min="1282" max="1282" width="17.109375" style="20" customWidth="1"/>
    <col min="1283" max="1283" width="14.6640625" style="20" customWidth="1"/>
    <col min="1284" max="1284" width="22.88671875" style="20" customWidth="1"/>
    <col min="1285" max="1286" width="14.44140625" style="20" customWidth="1"/>
    <col min="1287" max="1288" width="16.44140625" style="20" bestFit="1" customWidth="1"/>
    <col min="1289" max="1290" width="16.44140625" style="20" customWidth="1"/>
    <col min="1291" max="1291" width="29.109375" style="20" customWidth="1"/>
    <col min="1292" max="1292" width="33" style="20" customWidth="1"/>
    <col min="1293" max="1293" width="61.44140625" style="20" bestFit="1" customWidth="1"/>
    <col min="1294" max="1535" width="8.88671875" style="20"/>
    <col min="1536" max="1536" width="16" style="20" customWidth="1"/>
    <col min="1537" max="1537" width="12.44140625" style="20" customWidth="1"/>
    <col min="1538" max="1538" width="17.109375" style="20" customWidth="1"/>
    <col min="1539" max="1539" width="14.6640625" style="20" customWidth="1"/>
    <col min="1540" max="1540" width="22.88671875" style="20" customWidth="1"/>
    <col min="1541" max="1542" width="14.44140625" style="20" customWidth="1"/>
    <col min="1543" max="1544" width="16.44140625" style="20" bestFit="1" customWidth="1"/>
    <col min="1545" max="1546" width="16.44140625" style="20" customWidth="1"/>
    <col min="1547" max="1547" width="29.109375" style="20" customWidth="1"/>
    <col min="1548" max="1548" width="33" style="20" customWidth="1"/>
    <col min="1549" max="1549" width="61.44140625" style="20" bestFit="1" customWidth="1"/>
    <col min="1550" max="1791" width="8.88671875" style="20"/>
    <col min="1792" max="1792" width="16" style="20" customWidth="1"/>
    <col min="1793" max="1793" width="12.44140625" style="20" customWidth="1"/>
    <col min="1794" max="1794" width="17.109375" style="20" customWidth="1"/>
    <col min="1795" max="1795" width="14.6640625" style="20" customWidth="1"/>
    <col min="1796" max="1796" width="22.88671875" style="20" customWidth="1"/>
    <col min="1797" max="1798" width="14.44140625" style="20" customWidth="1"/>
    <col min="1799" max="1800" width="16.44140625" style="20" bestFit="1" customWidth="1"/>
    <col min="1801" max="1802" width="16.44140625" style="20" customWidth="1"/>
    <col min="1803" max="1803" width="29.109375" style="20" customWidth="1"/>
    <col min="1804" max="1804" width="33" style="20" customWidth="1"/>
    <col min="1805" max="1805" width="61.44140625" style="20" bestFit="1" customWidth="1"/>
    <col min="1806" max="2047" width="8.88671875" style="20"/>
    <col min="2048" max="2048" width="16" style="20" customWidth="1"/>
    <col min="2049" max="2049" width="12.44140625" style="20" customWidth="1"/>
    <col min="2050" max="2050" width="17.109375" style="20" customWidth="1"/>
    <col min="2051" max="2051" width="14.6640625" style="20" customWidth="1"/>
    <col min="2052" max="2052" width="22.88671875" style="20" customWidth="1"/>
    <col min="2053" max="2054" width="14.44140625" style="20" customWidth="1"/>
    <col min="2055" max="2056" width="16.44140625" style="20" bestFit="1" customWidth="1"/>
    <col min="2057" max="2058" width="16.44140625" style="20" customWidth="1"/>
    <col min="2059" max="2059" width="29.109375" style="20" customWidth="1"/>
    <col min="2060" max="2060" width="33" style="20" customWidth="1"/>
    <col min="2061" max="2061" width="61.44140625" style="20" bestFit="1" customWidth="1"/>
    <col min="2062" max="2303" width="8.88671875" style="20"/>
    <col min="2304" max="2304" width="16" style="20" customWidth="1"/>
    <col min="2305" max="2305" width="12.44140625" style="20" customWidth="1"/>
    <col min="2306" max="2306" width="17.109375" style="20" customWidth="1"/>
    <col min="2307" max="2307" width="14.6640625" style="20" customWidth="1"/>
    <col min="2308" max="2308" width="22.88671875" style="20" customWidth="1"/>
    <col min="2309" max="2310" width="14.44140625" style="20" customWidth="1"/>
    <col min="2311" max="2312" width="16.44140625" style="20" bestFit="1" customWidth="1"/>
    <col min="2313" max="2314" width="16.44140625" style="20" customWidth="1"/>
    <col min="2315" max="2315" width="29.109375" style="20" customWidth="1"/>
    <col min="2316" max="2316" width="33" style="20" customWidth="1"/>
    <col min="2317" max="2317" width="61.44140625" style="20" bestFit="1" customWidth="1"/>
    <col min="2318" max="2559" width="8.88671875" style="20"/>
    <col min="2560" max="2560" width="16" style="20" customWidth="1"/>
    <col min="2561" max="2561" width="12.44140625" style="20" customWidth="1"/>
    <col min="2562" max="2562" width="17.109375" style="20" customWidth="1"/>
    <col min="2563" max="2563" width="14.6640625" style="20" customWidth="1"/>
    <col min="2564" max="2564" width="22.88671875" style="20" customWidth="1"/>
    <col min="2565" max="2566" width="14.44140625" style="20" customWidth="1"/>
    <col min="2567" max="2568" width="16.44140625" style="20" bestFit="1" customWidth="1"/>
    <col min="2569" max="2570" width="16.44140625" style="20" customWidth="1"/>
    <col min="2571" max="2571" width="29.109375" style="20" customWidth="1"/>
    <col min="2572" max="2572" width="33" style="20" customWidth="1"/>
    <col min="2573" max="2573" width="61.44140625" style="20" bestFit="1" customWidth="1"/>
    <col min="2574" max="2815" width="8.88671875" style="20"/>
    <col min="2816" max="2816" width="16" style="20" customWidth="1"/>
    <col min="2817" max="2817" width="12.44140625" style="20" customWidth="1"/>
    <col min="2818" max="2818" width="17.109375" style="20" customWidth="1"/>
    <col min="2819" max="2819" width="14.6640625" style="20" customWidth="1"/>
    <col min="2820" max="2820" width="22.88671875" style="20" customWidth="1"/>
    <col min="2821" max="2822" width="14.44140625" style="20" customWidth="1"/>
    <col min="2823" max="2824" width="16.44140625" style="20" bestFit="1" customWidth="1"/>
    <col min="2825" max="2826" width="16.44140625" style="20" customWidth="1"/>
    <col min="2827" max="2827" width="29.109375" style="20" customWidth="1"/>
    <col min="2828" max="2828" width="33" style="20" customWidth="1"/>
    <col min="2829" max="2829" width="61.44140625" style="20" bestFit="1" customWidth="1"/>
    <col min="2830" max="3071" width="8.88671875" style="20"/>
    <col min="3072" max="3072" width="16" style="20" customWidth="1"/>
    <col min="3073" max="3073" width="12.44140625" style="20" customWidth="1"/>
    <col min="3074" max="3074" width="17.109375" style="20" customWidth="1"/>
    <col min="3075" max="3075" width="14.6640625" style="20" customWidth="1"/>
    <col min="3076" max="3076" width="22.88671875" style="20" customWidth="1"/>
    <col min="3077" max="3078" width="14.44140625" style="20" customWidth="1"/>
    <col min="3079" max="3080" width="16.44140625" style="20" bestFit="1" customWidth="1"/>
    <col min="3081" max="3082" width="16.44140625" style="20" customWidth="1"/>
    <col min="3083" max="3083" width="29.109375" style="20" customWidth="1"/>
    <col min="3084" max="3084" width="33" style="20" customWidth="1"/>
    <col min="3085" max="3085" width="61.44140625" style="20" bestFit="1" customWidth="1"/>
    <col min="3086" max="3327" width="8.88671875" style="20"/>
    <col min="3328" max="3328" width="16" style="20" customWidth="1"/>
    <col min="3329" max="3329" width="12.44140625" style="20" customWidth="1"/>
    <col min="3330" max="3330" width="17.109375" style="20" customWidth="1"/>
    <col min="3331" max="3331" width="14.6640625" style="20" customWidth="1"/>
    <col min="3332" max="3332" width="22.88671875" style="20" customWidth="1"/>
    <col min="3333" max="3334" width="14.44140625" style="20" customWidth="1"/>
    <col min="3335" max="3336" width="16.44140625" style="20" bestFit="1" customWidth="1"/>
    <col min="3337" max="3338" width="16.44140625" style="20" customWidth="1"/>
    <col min="3339" max="3339" width="29.109375" style="20" customWidth="1"/>
    <col min="3340" max="3340" width="33" style="20" customWidth="1"/>
    <col min="3341" max="3341" width="61.44140625" style="20" bestFit="1" customWidth="1"/>
    <col min="3342" max="3583" width="8.88671875" style="20"/>
    <col min="3584" max="3584" width="16" style="20" customWidth="1"/>
    <col min="3585" max="3585" width="12.44140625" style="20" customWidth="1"/>
    <col min="3586" max="3586" width="17.109375" style="20" customWidth="1"/>
    <col min="3587" max="3587" width="14.6640625" style="20" customWidth="1"/>
    <col min="3588" max="3588" width="22.88671875" style="20" customWidth="1"/>
    <col min="3589" max="3590" width="14.44140625" style="20" customWidth="1"/>
    <col min="3591" max="3592" width="16.44140625" style="20" bestFit="1" customWidth="1"/>
    <col min="3593" max="3594" width="16.44140625" style="20" customWidth="1"/>
    <col min="3595" max="3595" width="29.109375" style="20" customWidth="1"/>
    <col min="3596" max="3596" width="33" style="20" customWidth="1"/>
    <col min="3597" max="3597" width="61.44140625" style="20" bestFit="1" customWidth="1"/>
    <col min="3598" max="3839" width="8.88671875" style="20"/>
    <col min="3840" max="3840" width="16" style="20" customWidth="1"/>
    <col min="3841" max="3841" width="12.44140625" style="20" customWidth="1"/>
    <col min="3842" max="3842" width="17.109375" style="20" customWidth="1"/>
    <col min="3843" max="3843" width="14.6640625" style="20" customWidth="1"/>
    <col min="3844" max="3844" width="22.88671875" style="20" customWidth="1"/>
    <col min="3845" max="3846" width="14.44140625" style="20" customWidth="1"/>
    <col min="3847" max="3848" width="16.44140625" style="20" bestFit="1" customWidth="1"/>
    <col min="3849" max="3850" width="16.44140625" style="20" customWidth="1"/>
    <col min="3851" max="3851" width="29.109375" style="20" customWidth="1"/>
    <col min="3852" max="3852" width="33" style="20" customWidth="1"/>
    <col min="3853" max="3853" width="61.44140625" style="20" bestFit="1" customWidth="1"/>
    <col min="3854" max="4095" width="8.88671875" style="20"/>
    <col min="4096" max="4096" width="16" style="20" customWidth="1"/>
    <col min="4097" max="4097" width="12.44140625" style="20" customWidth="1"/>
    <col min="4098" max="4098" width="17.109375" style="20" customWidth="1"/>
    <col min="4099" max="4099" width="14.6640625" style="20" customWidth="1"/>
    <col min="4100" max="4100" width="22.88671875" style="20" customWidth="1"/>
    <col min="4101" max="4102" width="14.44140625" style="20" customWidth="1"/>
    <col min="4103" max="4104" width="16.44140625" style="20" bestFit="1" customWidth="1"/>
    <col min="4105" max="4106" width="16.44140625" style="20" customWidth="1"/>
    <col min="4107" max="4107" width="29.109375" style="20" customWidth="1"/>
    <col min="4108" max="4108" width="33" style="20" customWidth="1"/>
    <col min="4109" max="4109" width="61.44140625" style="20" bestFit="1" customWidth="1"/>
    <col min="4110" max="4351" width="8.88671875" style="20"/>
    <col min="4352" max="4352" width="16" style="20" customWidth="1"/>
    <col min="4353" max="4353" width="12.44140625" style="20" customWidth="1"/>
    <col min="4354" max="4354" width="17.109375" style="20" customWidth="1"/>
    <col min="4355" max="4355" width="14.6640625" style="20" customWidth="1"/>
    <col min="4356" max="4356" width="22.88671875" style="20" customWidth="1"/>
    <col min="4357" max="4358" width="14.44140625" style="20" customWidth="1"/>
    <col min="4359" max="4360" width="16.44140625" style="20" bestFit="1" customWidth="1"/>
    <col min="4361" max="4362" width="16.44140625" style="20" customWidth="1"/>
    <col min="4363" max="4363" width="29.109375" style="20" customWidth="1"/>
    <col min="4364" max="4364" width="33" style="20" customWidth="1"/>
    <col min="4365" max="4365" width="61.44140625" style="20" bestFit="1" customWidth="1"/>
    <col min="4366" max="4607" width="8.88671875" style="20"/>
    <col min="4608" max="4608" width="16" style="20" customWidth="1"/>
    <col min="4609" max="4609" width="12.44140625" style="20" customWidth="1"/>
    <col min="4610" max="4610" width="17.109375" style="20" customWidth="1"/>
    <col min="4611" max="4611" width="14.6640625" style="20" customWidth="1"/>
    <col min="4612" max="4612" width="22.88671875" style="20" customWidth="1"/>
    <col min="4613" max="4614" width="14.44140625" style="20" customWidth="1"/>
    <col min="4615" max="4616" width="16.44140625" style="20" bestFit="1" customWidth="1"/>
    <col min="4617" max="4618" width="16.44140625" style="20" customWidth="1"/>
    <col min="4619" max="4619" width="29.109375" style="20" customWidth="1"/>
    <col min="4620" max="4620" width="33" style="20" customWidth="1"/>
    <col min="4621" max="4621" width="61.44140625" style="20" bestFit="1" customWidth="1"/>
    <col min="4622" max="4863" width="8.88671875" style="20"/>
    <col min="4864" max="4864" width="16" style="20" customWidth="1"/>
    <col min="4865" max="4865" width="12.44140625" style="20" customWidth="1"/>
    <col min="4866" max="4866" width="17.109375" style="20" customWidth="1"/>
    <col min="4867" max="4867" width="14.6640625" style="20" customWidth="1"/>
    <col min="4868" max="4868" width="22.88671875" style="20" customWidth="1"/>
    <col min="4869" max="4870" width="14.44140625" style="20" customWidth="1"/>
    <col min="4871" max="4872" width="16.44140625" style="20" bestFit="1" customWidth="1"/>
    <col min="4873" max="4874" width="16.44140625" style="20" customWidth="1"/>
    <col min="4875" max="4875" width="29.109375" style="20" customWidth="1"/>
    <col min="4876" max="4876" width="33" style="20" customWidth="1"/>
    <col min="4877" max="4877" width="61.44140625" style="20" bestFit="1" customWidth="1"/>
    <col min="4878" max="5119" width="8.88671875" style="20"/>
    <col min="5120" max="5120" width="16" style="20" customWidth="1"/>
    <col min="5121" max="5121" width="12.44140625" style="20" customWidth="1"/>
    <col min="5122" max="5122" width="17.109375" style="20" customWidth="1"/>
    <col min="5123" max="5123" width="14.6640625" style="20" customWidth="1"/>
    <col min="5124" max="5124" width="22.88671875" style="20" customWidth="1"/>
    <col min="5125" max="5126" width="14.44140625" style="20" customWidth="1"/>
    <col min="5127" max="5128" width="16.44140625" style="20" bestFit="1" customWidth="1"/>
    <col min="5129" max="5130" width="16.44140625" style="20" customWidth="1"/>
    <col min="5131" max="5131" width="29.109375" style="20" customWidth="1"/>
    <col min="5132" max="5132" width="33" style="20" customWidth="1"/>
    <col min="5133" max="5133" width="61.44140625" style="20" bestFit="1" customWidth="1"/>
    <col min="5134" max="5375" width="8.88671875" style="20"/>
    <col min="5376" max="5376" width="16" style="20" customWidth="1"/>
    <col min="5377" max="5377" width="12.44140625" style="20" customWidth="1"/>
    <col min="5378" max="5378" width="17.109375" style="20" customWidth="1"/>
    <col min="5379" max="5379" width="14.6640625" style="20" customWidth="1"/>
    <col min="5380" max="5380" width="22.88671875" style="20" customWidth="1"/>
    <col min="5381" max="5382" width="14.44140625" style="20" customWidth="1"/>
    <col min="5383" max="5384" width="16.44140625" style="20" bestFit="1" customWidth="1"/>
    <col min="5385" max="5386" width="16.44140625" style="20" customWidth="1"/>
    <col min="5387" max="5387" width="29.109375" style="20" customWidth="1"/>
    <col min="5388" max="5388" width="33" style="20" customWidth="1"/>
    <col min="5389" max="5389" width="61.44140625" style="20" bestFit="1" customWidth="1"/>
    <col min="5390" max="5631" width="8.88671875" style="20"/>
    <col min="5632" max="5632" width="16" style="20" customWidth="1"/>
    <col min="5633" max="5633" width="12.44140625" style="20" customWidth="1"/>
    <col min="5634" max="5634" width="17.109375" style="20" customWidth="1"/>
    <col min="5635" max="5635" width="14.6640625" style="20" customWidth="1"/>
    <col min="5636" max="5636" width="22.88671875" style="20" customWidth="1"/>
    <col min="5637" max="5638" width="14.44140625" style="20" customWidth="1"/>
    <col min="5639" max="5640" width="16.44140625" style="20" bestFit="1" customWidth="1"/>
    <col min="5641" max="5642" width="16.44140625" style="20" customWidth="1"/>
    <col min="5643" max="5643" width="29.109375" style="20" customWidth="1"/>
    <col min="5644" max="5644" width="33" style="20" customWidth="1"/>
    <col min="5645" max="5645" width="61.44140625" style="20" bestFit="1" customWidth="1"/>
    <col min="5646" max="5887" width="8.88671875" style="20"/>
    <col min="5888" max="5888" width="16" style="20" customWidth="1"/>
    <col min="5889" max="5889" width="12.44140625" style="20" customWidth="1"/>
    <col min="5890" max="5890" width="17.109375" style="20" customWidth="1"/>
    <col min="5891" max="5891" width="14.6640625" style="20" customWidth="1"/>
    <col min="5892" max="5892" width="22.88671875" style="20" customWidth="1"/>
    <col min="5893" max="5894" width="14.44140625" style="20" customWidth="1"/>
    <col min="5895" max="5896" width="16.44140625" style="20" bestFit="1" customWidth="1"/>
    <col min="5897" max="5898" width="16.44140625" style="20" customWidth="1"/>
    <col min="5899" max="5899" width="29.109375" style="20" customWidth="1"/>
    <col min="5900" max="5900" width="33" style="20" customWidth="1"/>
    <col min="5901" max="5901" width="61.44140625" style="20" bestFit="1" customWidth="1"/>
    <col min="5902" max="6143" width="8.88671875" style="20"/>
    <col min="6144" max="6144" width="16" style="20" customWidth="1"/>
    <col min="6145" max="6145" width="12.44140625" style="20" customWidth="1"/>
    <col min="6146" max="6146" width="17.109375" style="20" customWidth="1"/>
    <col min="6147" max="6147" width="14.6640625" style="20" customWidth="1"/>
    <col min="6148" max="6148" width="22.88671875" style="20" customWidth="1"/>
    <col min="6149" max="6150" width="14.44140625" style="20" customWidth="1"/>
    <col min="6151" max="6152" width="16.44140625" style="20" bestFit="1" customWidth="1"/>
    <col min="6153" max="6154" width="16.44140625" style="20" customWidth="1"/>
    <col min="6155" max="6155" width="29.109375" style="20" customWidth="1"/>
    <col min="6156" max="6156" width="33" style="20" customWidth="1"/>
    <col min="6157" max="6157" width="61.44140625" style="20" bestFit="1" customWidth="1"/>
    <col min="6158" max="6399" width="8.88671875" style="20"/>
    <col min="6400" max="6400" width="16" style="20" customWidth="1"/>
    <col min="6401" max="6401" width="12.44140625" style="20" customWidth="1"/>
    <col min="6402" max="6402" width="17.109375" style="20" customWidth="1"/>
    <col min="6403" max="6403" width="14.6640625" style="20" customWidth="1"/>
    <col min="6404" max="6404" width="22.88671875" style="20" customWidth="1"/>
    <col min="6405" max="6406" width="14.44140625" style="20" customWidth="1"/>
    <col min="6407" max="6408" width="16.44140625" style="20" bestFit="1" customWidth="1"/>
    <col min="6409" max="6410" width="16.44140625" style="20" customWidth="1"/>
    <col min="6411" max="6411" width="29.109375" style="20" customWidth="1"/>
    <col min="6412" max="6412" width="33" style="20" customWidth="1"/>
    <col min="6413" max="6413" width="61.44140625" style="20" bestFit="1" customWidth="1"/>
    <col min="6414" max="6655" width="8.88671875" style="20"/>
    <col min="6656" max="6656" width="16" style="20" customWidth="1"/>
    <col min="6657" max="6657" width="12.44140625" style="20" customWidth="1"/>
    <col min="6658" max="6658" width="17.109375" style="20" customWidth="1"/>
    <col min="6659" max="6659" width="14.6640625" style="20" customWidth="1"/>
    <col min="6660" max="6660" width="22.88671875" style="20" customWidth="1"/>
    <col min="6661" max="6662" width="14.44140625" style="20" customWidth="1"/>
    <col min="6663" max="6664" width="16.44140625" style="20" bestFit="1" customWidth="1"/>
    <col min="6665" max="6666" width="16.44140625" style="20" customWidth="1"/>
    <col min="6667" max="6667" width="29.109375" style="20" customWidth="1"/>
    <col min="6668" max="6668" width="33" style="20" customWidth="1"/>
    <col min="6669" max="6669" width="61.44140625" style="20" bestFit="1" customWidth="1"/>
    <col min="6670" max="6911" width="8.88671875" style="20"/>
    <col min="6912" max="6912" width="16" style="20" customWidth="1"/>
    <col min="6913" max="6913" width="12.44140625" style="20" customWidth="1"/>
    <col min="6914" max="6914" width="17.109375" style="20" customWidth="1"/>
    <col min="6915" max="6915" width="14.6640625" style="20" customWidth="1"/>
    <col min="6916" max="6916" width="22.88671875" style="20" customWidth="1"/>
    <col min="6917" max="6918" width="14.44140625" style="20" customWidth="1"/>
    <col min="6919" max="6920" width="16.44140625" style="20" bestFit="1" customWidth="1"/>
    <col min="6921" max="6922" width="16.44140625" style="20" customWidth="1"/>
    <col min="6923" max="6923" width="29.109375" style="20" customWidth="1"/>
    <col min="6924" max="6924" width="33" style="20" customWidth="1"/>
    <col min="6925" max="6925" width="61.44140625" style="20" bestFit="1" customWidth="1"/>
    <col min="6926" max="7167" width="8.88671875" style="20"/>
    <col min="7168" max="7168" width="16" style="20" customWidth="1"/>
    <col min="7169" max="7169" width="12.44140625" style="20" customWidth="1"/>
    <col min="7170" max="7170" width="17.109375" style="20" customWidth="1"/>
    <col min="7171" max="7171" width="14.6640625" style="20" customWidth="1"/>
    <col min="7172" max="7172" width="22.88671875" style="20" customWidth="1"/>
    <col min="7173" max="7174" width="14.44140625" style="20" customWidth="1"/>
    <col min="7175" max="7176" width="16.44140625" style="20" bestFit="1" customWidth="1"/>
    <col min="7177" max="7178" width="16.44140625" style="20" customWidth="1"/>
    <col min="7179" max="7179" width="29.109375" style="20" customWidth="1"/>
    <col min="7180" max="7180" width="33" style="20" customWidth="1"/>
    <col min="7181" max="7181" width="61.44140625" style="20" bestFit="1" customWidth="1"/>
    <col min="7182" max="7423" width="8.88671875" style="20"/>
    <col min="7424" max="7424" width="16" style="20" customWidth="1"/>
    <col min="7425" max="7425" width="12.44140625" style="20" customWidth="1"/>
    <col min="7426" max="7426" width="17.109375" style="20" customWidth="1"/>
    <col min="7427" max="7427" width="14.6640625" style="20" customWidth="1"/>
    <col min="7428" max="7428" width="22.88671875" style="20" customWidth="1"/>
    <col min="7429" max="7430" width="14.44140625" style="20" customWidth="1"/>
    <col min="7431" max="7432" width="16.44140625" style="20" bestFit="1" customWidth="1"/>
    <col min="7433" max="7434" width="16.44140625" style="20" customWidth="1"/>
    <col min="7435" max="7435" width="29.109375" style="20" customWidth="1"/>
    <col min="7436" max="7436" width="33" style="20" customWidth="1"/>
    <col min="7437" max="7437" width="61.44140625" style="20" bestFit="1" customWidth="1"/>
    <col min="7438" max="7679" width="8.88671875" style="20"/>
    <col min="7680" max="7680" width="16" style="20" customWidth="1"/>
    <col min="7681" max="7681" width="12.44140625" style="20" customWidth="1"/>
    <col min="7682" max="7682" width="17.109375" style="20" customWidth="1"/>
    <col min="7683" max="7683" width="14.6640625" style="20" customWidth="1"/>
    <col min="7684" max="7684" width="22.88671875" style="20" customWidth="1"/>
    <col min="7685" max="7686" width="14.44140625" style="20" customWidth="1"/>
    <col min="7687" max="7688" width="16.44140625" style="20" bestFit="1" customWidth="1"/>
    <col min="7689" max="7690" width="16.44140625" style="20" customWidth="1"/>
    <col min="7691" max="7691" width="29.109375" style="20" customWidth="1"/>
    <col min="7692" max="7692" width="33" style="20" customWidth="1"/>
    <col min="7693" max="7693" width="61.44140625" style="20" bestFit="1" customWidth="1"/>
    <col min="7694" max="7935" width="8.88671875" style="20"/>
    <col min="7936" max="7936" width="16" style="20" customWidth="1"/>
    <col min="7937" max="7937" width="12.44140625" style="20" customWidth="1"/>
    <col min="7938" max="7938" width="17.109375" style="20" customWidth="1"/>
    <col min="7939" max="7939" width="14.6640625" style="20" customWidth="1"/>
    <col min="7940" max="7940" width="22.88671875" style="20" customWidth="1"/>
    <col min="7941" max="7942" width="14.44140625" style="20" customWidth="1"/>
    <col min="7943" max="7944" width="16.44140625" style="20" bestFit="1" customWidth="1"/>
    <col min="7945" max="7946" width="16.44140625" style="20" customWidth="1"/>
    <col min="7947" max="7947" width="29.109375" style="20" customWidth="1"/>
    <col min="7948" max="7948" width="33" style="20" customWidth="1"/>
    <col min="7949" max="7949" width="61.44140625" style="20" bestFit="1" customWidth="1"/>
    <col min="7950" max="8191" width="8.88671875" style="20"/>
    <col min="8192" max="8192" width="16" style="20" customWidth="1"/>
    <col min="8193" max="8193" width="12.44140625" style="20" customWidth="1"/>
    <col min="8194" max="8194" width="17.109375" style="20" customWidth="1"/>
    <col min="8195" max="8195" width="14.6640625" style="20" customWidth="1"/>
    <col min="8196" max="8196" width="22.88671875" style="20" customWidth="1"/>
    <col min="8197" max="8198" width="14.44140625" style="20" customWidth="1"/>
    <col min="8199" max="8200" width="16.44140625" style="20" bestFit="1" customWidth="1"/>
    <col min="8201" max="8202" width="16.44140625" style="20" customWidth="1"/>
    <col min="8203" max="8203" width="29.109375" style="20" customWidth="1"/>
    <col min="8204" max="8204" width="33" style="20" customWidth="1"/>
    <col min="8205" max="8205" width="61.44140625" style="20" bestFit="1" customWidth="1"/>
    <col min="8206" max="8447" width="8.88671875" style="20"/>
    <col min="8448" max="8448" width="16" style="20" customWidth="1"/>
    <col min="8449" max="8449" width="12.44140625" style="20" customWidth="1"/>
    <col min="8450" max="8450" width="17.109375" style="20" customWidth="1"/>
    <col min="8451" max="8451" width="14.6640625" style="20" customWidth="1"/>
    <col min="8452" max="8452" width="22.88671875" style="20" customWidth="1"/>
    <col min="8453" max="8454" width="14.44140625" style="20" customWidth="1"/>
    <col min="8455" max="8456" width="16.44140625" style="20" bestFit="1" customWidth="1"/>
    <col min="8457" max="8458" width="16.44140625" style="20" customWidth="1"/>
    <col min="8459" max="8459" width="29.109375" style="20" customWidth="1"/>
    <col min="8460" max="8460" width="33" style="20" customWidth="1"/>
    <col min="8461" max="8461" width="61.44140625" style="20" bestFit="1" customWidth="1"/>
    <col min="8462" max="8703" width="8.88671875" style="20"/>
    <col min="8704" max="8704" width="16" style="20" customWidth="1"/>
    <col min="8705" max="8705" width="12.44140625" style="20" customWidth="1"/>
    <col min="8706" max="8706" width="17.109375" style="20" customWidth="1"/>
    <col min="8707" max="8707" width="14.6640625" style="20" customWidth="1"/>
    <col min="8708" max="8708" width="22.88671875" style="20" customWidth="1"/>
    <col min="8709" max="8710" width="14.44140625" style="20" customWidth="1"/>
    <col min="8711" max="8712" width="16.44140625" style="20" bestFit="1" customWidth="1"/>
    <col min="8713" max="8714" width="16.44140625" style="20" customWidth="1"/>
    <col min="8715" max="8715" width="29.109375" style="20" customWidth="1"/>
    <col min="8716" max="8716" width="33" style="20" customWidth="1"/>
    <col min="8717" max="8717" width="61.44140625" style="20" bestFit="1" customWidth="1"/>
    <col min="8718" max="8959" width="8.88671875" style="20"/>
    <col min="8960" max="8960" width="16" style="20" customWidth="1"/>
    <col min="8961" max="8961" width="12.44140625" style="20" customWidth="1"/>
    <col min="8962" max="8962" width="17.109375" style="20" customWidth="1"/>
    <col min="8963" max="8963" width="14.6640625" style="20" customWidth="1"/>
    <col min="8964" max="8964" width="22.88671875" style="20" customWidth="1"/>
    <col min="8965" max="8966" width="14.44140625" style="20" customWidth="1"/>
    <col min="8967" max="8968" width="16.44140625" style="20" bestFit="1" customWidth="1"/>
    <col min="8969" max="8970" width="16.44140625" style="20" customWidth="1"/>
    <col min="8971" max="8971" width="29.109375" style="20" customWidth="1"/>
    <col min="8972" max="8972" width="33" style="20" customWidth="1"/>
    <col min="8973" max="8973" width="61.44140625" style="20" bestFit="1" customWidth="1"/>
    <col min="8974" max="9215" width="8.88671875" style="20"/>
    <col min="9216" max="9216" width="16" style="20" customWidth="1"/>
    <col min="9217" max="9217" width="12.44140625" style="20" customWidth="1"/>
    <col min="9218" max="9218" width="17.109375" style="20" customWidth="1"/>
    <col min="9219" max="9219" width="14.6640625" style="20" customWidth="1"/>
    <col min="9220" max="9220" width="22.88671875" style="20" customWidth="1"/>
    <col min="9221" max="9222" width="14.44140625" style="20" customWidth="1"/>
    <col min="9223" max="9224" width="16.44140625" style="20" bestFit="1" customWidth="1"/>
    <col min="9225" max="9226" width="16.44140625" style="20" customWidth="1"/>
    <col min="9227" max="9227" width="29.109375" style="20" customWidth="1"/>
    <col min="9228" max="9228" width="33" style="20" customWidth="1"/>
    <col min="9229" max="9229" width="61.44140625" style="20" bestFit="1" customWidth="1"/>
    <col min="9230" max="9471" width="8.88671875" style="20"/>
    <col min="9472" max="9472" width="16" style="20" customWidth="1"/>
    <col min="9473" max="9473" width="12.44140625" style="20" customWidth="1"/>
    <col min="9474" max="9474" width="17.109375" style="20" customWidth="1"/>
    <col min="9475" max="9475" width="14.6640625" style="20" customWidth="1"/>
    <col min="9476" max="9476" width="22.88671875" style="20" customWidth="1"/>
    <col min="9477" max="9478" width="14.44140625" style="20" customWidth="1"/>
    <col min="9479" max="9480" width="16.44140625" style="20" bestFit="1" customWidth="1"/>
    <col min="9481" max="9482" width="16.44140625" style="20" customWidth="1"/>
    <col min="9483" max="9483" width="29.109375" style="20" customWidth="1"/>
    <col min="9484" max="9484" width="33" style="20" customWidth="1"/>
    <col min="9485" max="9485" width="61.44140625" style="20" bestFit="1" customWidth="1"/>
    <col min="9486" max="9727" width="8.88671875" style="20"/>
    <col min="9728" max="9728" width="16" style="20" customWidth="1"/>
    <col min="9729" max="9729" width="12.44140625" style="20" customWidth="1"/>
    <col min="9730" max="9730" width="17.109375" style="20" customWidth="1"/>
    <col min="9731" max="9731" width="14.6640625" style="20" customWidth="1"/>
    <col min="9732" max="9732" width="22.88671875" style="20" customWidth="1"/>
    <col min="9733" max="9734" width="14.44140625" style="20" customWidth="1"/>
    <col min="9735" max="9736" width="16.44140625" style="20" bestFit="1" customWidth="1"/>
    <col min="9737" max="9738" width="16.44140625" style="20" customWidth="1"/>
    <col min="9739" max="9739" width="29.109375" style="20" customWidth="1"/>
    <col min="9740" max="9740" width="33" style="20" customWidth="1"/>
    <col min="9741" max="9741" width="61.44140625" style="20" bestFit="1" customWidth="1"/>
    <col min="9742" max="9983" width="8.88671875" style="20"/>
    <col min="9984" max="9984" width="16" style="20" customWidth="1"/>
    <col min="9985" max="9985" width="12.44140625" style="20" customWidth="1"/>
    <col min="9986" max="9986" width="17.109375" style="20" customWidth="1"/>
    <col min="9987" max="9987" width="14.6640625" style="20" customWidth="1"/>
    <col min="9988" max="9988" width="22.88671875" style="20" customWidth="1"/>
    <col min="9989" max="9990" width="14.44140625" style="20" customWidth="1"/>
    <col min="9991" max="9992" width="16.44140625" style="20" bestFit="1" customWidth="1"/>
    <col min="9993" max="9994" width="16.44140625" style="20" customWidth="1"/>
    <col min="9995" max="9995" width="29.109375" style="20" customWidth="1"/>
    <col min="9996" max="9996" width="33" style="20" customWidth="1"/>
    <col min="9997" max="9997" width="61.44140625" style="20" bestFit="1" customWidth="1"/>
    <col min="9998" max="10239" width="8.88671875" style="20"/>
    <col min="10240" max="10240" width="16" style="20" customWidth="1"/>
    <col min="10241" max="10241" width="12.44140625" style="20" customWidth="1"/>
    <col min="10242" max="10242" width="17.109375" style="20" customWidth="1"/>
    <col min="10243" max="10243" width="14.6640625" style="20" customWidth="1"/>
    <col min="10244" max="10244" width="22.88671875" style="20" customWidth="1"/>
    <col min="10245" max="10246" width="14.44140625" style="20" customWidth="1"/>
    <col min="10247" max="10248" width="16.44140625" style="20" bestFit="1" customWidth="1"/>
    <col min="10249" max="10250" width="16.44140625" style="20" customWidth="1"/>
    <col min="10251" max="10251" width="29.109375" style="20" customWidth="1"/>
    <col min="10252" max="10252" width="33" style="20" customWidth="1"/>
    <col min="10253" max="10253" width="61.44140625" style="20" bestFit="1" customWidth="1"/>
    <col min="10254" max="10495" width="8.88671875" style="20"/>
    <col min="10496" max="10496" width="16" style="20" customWidth="1"/>
    <col min="10497" max="10497" width="12.44140625" style="20" customWidth="1"/>
    <col min="10498" max="10498" width="17.109375" style="20" customWidth="1"/>
    <col min="10499" max="10499" width="14.6640625" style="20" customWidth="1"/>
    <col min="10500" max="10500" width="22.88671875" style="20" customWidth="1"/>
    <col min="10501" max="10502" width="14.44140625" style="20" customWidth="1"/>
    <col min="10503" max="10504" width="16.44140625" style="20" bestFit="1" customWidth="1"/>
    <col min="10505" max="10506" width="16.44140625" style="20" customWidth="1"/>
    <col min="10507" max="10507" width="29.109375" style="20" customWidth="1"/>
    <col min="10508" max="10508" width="33" style="20" customWidth="1"/>
    <col min="10509" max="10509" width="61.44140625" style="20" bestFit="1" customWidth="1"/>
    <col min="10510" max="10751" width="8.88671875" style="20"/>
    <col min="10752" max="10752" width="16" style="20" customWidth="1"/>
    <col min="10753" max="10753" width="12.44140625" style="20" customWidth="1"/>
    <col min="10754" max="10754" width="17.109375" style="20" customWidth="1"/>
    <col min="10755" max="10755" width="14.6640625" style="20" customWidth="1"/>
    <col min="10756" max="10756" width="22.88671875" style="20" customWidth="1"/>
    <col min="10757" max="10758" width="14.44140625" style="20" customWidth="1"/>
    <col min="10759" max="10760" width="16.44140625" style="20" bestFit="1" customWidth="1"/>
    <col min="10761" max="10762" width="16.44140625" style="20" customWidth="1"/>
    <col min="10763" max="10763" width="29.109375" style="20" customWidth="1"/>
    <col min="10764" max="10764" width="33" style="20" customWidth="1"/>
    <col min="10765" max="10765" width="61.44140625" style="20" bestFit="1" customWidth="1"/>
    <col min="10766" max="11007" width="8.88671875" style="20"/>
    <col min="11008" max="11008" width="16" style="20" customWidth="1"/>
    <col min="11009" max="11009" width="12.44140625" style="20" customWidth="1"/>
    <col min="11010" max="11010" width="17.109375" style="20" customWidth="1"/>
    <col min="11011" max="11011" width="14.6640625" style="20" customWidth="1"/>
    <col min="11012" max="11012" width="22.88671875" style="20" customWidth="1"/>
    <col min="11013" max="11014" width="14.44140625" style="20" customWidth="1"/>
    <col min="11015" max="11016" width="16.44140625" style="20" bestFit="1" customWidth="1"/>
    <col min="11017" max="11018" width="16.44140625" style="20" customWidth="1"/>
    <col min="11019" max="11019" width="29.109375" style="20" customWidth="1"/>
    <col min="11020" max="11020" width="33" style="20" customWidth="1"/>
    <col min="11021" max="11021" width="61.44140625" style="20" bestFit="1" customWidth="1"/>
    <col min="11022" max="11263" width="8.88671875" style="20"/>
    <col min="11264" max="11264" width="16" style="20" customWidth="1"/>
    <col min="11265" max="11265" width="12.44140625" style="20" customWidth="1"/>
    <col min="11266" max="11266" width="17.109375" style="20" customWidth="1"/>
    <col min="11267" max="11267" width="14.6640625" style="20" customWidth="1"/>
    <col min="11268" max="11268" width="22.88671875" style="20" customWidth="1"/>
    <col min="11269" max="11270" width="14.44140625" style="20" customWidth="1"/>
    <col min="11271" max="11272" width="16.44140625" style="20" bestFit="1" customWidth="1"/>
    <col min="11273" max="11274" width="16.44140625" style="20" customWidth="1"/>
    <col min="11275" max="11275" width="29.109375" style="20" customWidth="1"/>
    <col min="11276" max="11276" width="33" style="20" customWidth="1"/>
    <col min="11277" max="11277" width="61.44140625" style="20" bestFit="1" customWidth="1"/>
    <col min="11278" max="11519" width="8.88671875" style="20"/>
    <col min="11520" max="11520" width="16" style="20" customWidth="1"/>
    <col min="11521" max="11521" width="12.44140625" style="20" customWidth="1"/>
    <col min="11522" max="11522" width="17.109375" style="20" customWidth="1"/>
    <col min="11523" max="11523" width="14.6640625" style="20" customWidth="1"/>
    <col min="11524" max="11524" width="22.88671875" style="20" customWidth="1"/>
    <col min="11525" max="11526" width="14.44140625" style="20" customWidth="1"/>
    <col min="11527" max="11528" width="16.44140625" style="20" bestFit="1" customWidth="1"/>
    <col min="11529" max="11530" width="16.44140625" style="20" customWidth="1"/>
    <col min="11531" max="11531" width="29.109375" style="20" customWidth="1"/>
    <col min="11532" max="11532" width="33" style="20" customWidth="1"/>
    <col min="11533" max="11533" width="61.44140625" style="20" bestFit="1" customWidth="1"/>
    <col min="11534" max="11775" width="8.88671875" style="20"/>
    <col min="11776" max="11776" width="16" style="20" customWidth="1"/>
    <col min="11777" max="11777" width="12.44140625" style="20" customWidth="1"/>
    <col min="11778" max="11778" width="17.109375" style="20" customWidth="1"/>
    <col min="11779" max="11779" width="14.6640625" style="20" customWidth="1"/>
    <col min="11780" max="11780" width="22.88671875" style="20" customWidth="1"/>
    <col min="11781" max="11782" width="14.44140625" style="20" customWidth="1"/>
    <col min="11783" max="11784" width="16.44140625" style="20" bestFit="1" customWidth="1"/>
    <col min="11785" max="11786" width="16.44140625" style="20" customWidth="1"/>
    <col min="11787" max="11787" width="29.109375" style="20" customWidth="1"/>
    <col min="11788" max="11788" width="33" style="20" customWidth="1"/>
    <col min="11789" max="11789" width="61.44140625" style="20" bestFit="1" customWidth="1"/>
    <col min="11790" max="12031" width="8.88671875" style="20"/>
    <col min="12032" max="12032" width="16" style="20" customWidth="1"/>
    <col min="12033" max="12033" width="12.44140625" style="20" customWidth="1"/>
    <col min="12034" max="12034" width="17.109375" style="20" customWidth="1"/>
    <col min="12035" max="12035" width="14.6640625" style="20" customWidth="1"/>
    <col min="12036" max="12036" width="22.88671875" style="20" customWidth="1"/>
    <col min="12037" max="12038" width="14.44140625" style="20" customWidth="1"/>
    <col min="12039" max="12040" width="16.44140625" style="20" bestFit="1" customWidth="1"/>
    <col min="12041" max="12042" width="16.44140625" style="20" customWidth="1"/>
    <col min="12043" max="12043" width="29.109375" style="20" customWidth="1"/>
    <col min="12044" max="12044" width="33" style="20" customWidth="1"/>
    <col min="12045" max="12045" width="61.44140625" style="20" bestFit="1" customWidth="1"/>
    <col min="12046" max="12287" width="8.88671875" style="20"/>
    <col min="12288" max="12288" width="16" style="20" customWidth="1"/>
    <col min="12289" max="12289" width="12.44140625" style="20" customWidth="1"/>
    <col min="12290" max="12290" width="17.109375" style="20" customWidth="1"/>
    <col min="12291" max="12291" width="14.6640625" style="20" customWidth="1"/>
    <col min="12292" max="12292" width="22.88671875" style="20" customWidth="1"/>
    <col min="12293" max="12294" width="14.44140625" style="20" customWidth="1"/>
    <col min="12295" max="12296" width="16.44140625" style="20" bestFit="1" customWidth="1"/>
    <col min="12297" max="12298" width="16.44140625" style="20" customWidth="1"/>
    <col min="12299" max="12299" width="29.109375" style="20" customWidth="1"/>
    <col min="12300" max="12300" width="33" style="20" customWidth="1"/>
    <col min="12301" max="12301" width="61.44140625" style="20" bestFit="1" customWidth="1"/>
    <col min="12302" max="12543" width="8.88671875" style="20"/>
    <col min="12544" max="12544" width="16" style="20" customWidth="1"/>
    <col min="12545" max="12545" width="12.44140625" style="20" customWidth="1"/>
    <col min="12546" max="12546" width="17.109375" style="20" customWidth="1"/>
    <col min="12547" max="12547" width="14.6640625" style="20" customWidth="1"/>
    <col min="12548" max="12548" width="22.88671875" style="20" customWidth="1"/>
    <col min="12549" max="12550" width="14.44140625" style="20" customWidth="1"/>
    <col min="12551" max="12552" width="16.44140625" style="20" bestFit="1" customWidth="1"/>
    <col min="12553" max="12554" width="16.44140625" style="20" customWidth="1"/>
    <col min="12555" max="12555" width="29.109375" style="20" customWidth="1"/>
    <col min="12556" max="12556" width="33" style="20" customWidth="1"/>
    <col min="12557" max="12557" width="61.44140625" style="20" bestFit="1" customWidth="1"/>
    <col min="12558" max="12799" width="8.88671875" style="20"/>
    <col min="12800" max="12800" width="16" style="20" customWidth="1"/>
    <col min="12801" max="12801" width="12.44140625" style="20" customWidth="1"/>
    <col min="12802" max="12802" width="17.109375" style="20" customWidth="1"/>
    <col min="12803" max="12803" width="14.6640625" style="20" customWidth="1"/>
    <col min="12804" max="12804" width="22.88671875" style="20" customWidth="1"/>
    <col min="12805" max="12806" width="14.44140625" style="20" customWidth="1"/>
    <col min="12807" max="12808" width="16.44140625" style="20" bestFit="1" customWidth="1"/>
    <col min="12809" max="12810" width="16.44140625" style="20" customWidth="1"/>
    <col min="12811" max="12811" width="29.109375" style="20" customWidth="1"/>
    <col min="12812" max="12812" width="33" style="20" customWidth="1"/>
    <col min="12813" max="12813" width="61.44140625" style="20" bestFit="1" customWidth="1"/>
    <col min="12814" max="13055" width="8.88671875" style="20"/>
    <col min="13056" max="13056" width="16" style="20" customWidth="1"/>
    <col min="13057" max="13057" width="12.44140625" style="20" customWidth="1"/>
    <col min="13058" max="13058" width="17.109375" style="20" customWidth="1"/>
    <col min="13059" max="13059" width="14.6640625" style="20" customWidth="1"/>
    <col min="13060" max="13060" width="22.88671875" style="20" customWidth="1"/>
    <col min="13061" max="13062" width="14.44140625" style="20" customWidth="1"/>
    <col min="13063" max="13064" width="16.44140625" style="20" bestFit="1" customWidth="1"/>
    <col min="13065" max="13066" width="16.44140625" style="20" customWidth="1"/>
    <col min="13067" max="13067" width="29.109375" style="20" customWidth="1"/>
    <col min="13068" max="13068" width="33" style="20" customWidth="1"/>
    <col min="13069" max="13069" width="61.44140625" style="20" bestFit="1" customWidth="1"/>
    <col min="13070" max="13311" width="8.88671875" style="20"/>
    <col min="13312" max="13312" width="16" style="20" customWidth="1"/>
    <col min="13313" max="13313" width="12.44140625" style="20" customWidth="1"/>
    <col min="13314" max="13314" width="17.109375" style="20" customWidth="1"/>
    <col min="13315" max="13315" width="14.6640625" style="20" customWidth="1"/>
    <col min="13316" max="13316" width="22.88671875" style="20" customWidth="1"/>
    <col min="13317" max="13318" width="14.44140625" style="20" customWidth="1"/>
    <col min="13319" max="13320" width="16.44140625" style="20" bestFit="1" customWidth="1"/>
    <col min="13321" max="13322" width="16.44140625" style="20" customWidth="1"/>
    <col min="13323" max="13323" width="29.109375" style="20" customWidth="1"/>
    <col min="13324" max="13324" width="33" style="20" customWidth="1"/>
    <col min="13325" max="13325" width="61.44140625" style="20" bestFit="1" customWidth="1"/>
    <col min="13326" max="13567" width="8.88671875" style="20"/>
    <col min="13568" max="13568" width="16" style="20" customWidth="1"/>
    <col min="13569" max="13569" width="12.44140625" style="20" customWidth="1"/>
    <col min="13570" max="13570" width="17.109375" style="20" customWidth="1"/>
    <col min="13571" max="13571" width="14.6640625" style="20" customWidth="1"/>
    <col min="13572" max="13572" width="22.88671875" style="20" customWidth="1"/>
    <col min="13573" max="13574" width="14.44140625" style="20" customWidth="1"/>
    <col min="13575" max="13576" width="16.44140625" style="20" bestFit="1" customWidth="1"/>
    <col min="13577" max="13578" width="16.44140625" style="20" customWidth="1"/>
    <col min="13579" max="13579" width="29.109375" style="20" customWidth="1"/>
    <col min="13580" max="13580" width="33" style="20" customWidth="1"/>
    <col min="13581" max="13581" width="61.44140625" style="20" bestFit="1" customWidth="1"/>
    <col min="13582" max="13823" width="8.88671875" style="20"/>
    <col min="13824" max="13824" width="16" style="20" customWidth="1"/>
    <col min="13825" max="13825" width="12.44140625" style="20" customWidth="1"/>
    <col min="13826" max="13826" width="17.109375" style="20" customWidth="1"/>
    <col min="13827" max="13827" width="14.6640625" style="20" customWidth="1"/>
    <col min="13828" max="13828" width="22.88671875" style="20" customWidth="1"/>
    <col min="13829" max="13830" width="14.44140625" style="20" customWidth="1"/>
    <col min="13831" max="13832" width="16.44140625" style="20" bestFit="1" customWidth="1"/>
    <col min="13833" max="13834" width="16.44140625" style="20" customWidth="1"/>
    <col min="13835" max="13835" width="29.109375" style="20" customWidth="1"/>
    <col min="13836" max="13836" width="33" style="20" customWidth="1"/>
    <col min="13837" max="13837" width="61.44140625" style="20" bestFit="1" customWidth="1"/>
    <col min="13838" max="14079" width="8.88671875" style="20"/>
    <col min="14080" max="14080" width="16" style="20" customWidth="1"/>
    <col min="14081" max="14081" width="12.44140625" style="20" customWidth="1"/>
    <col min="14082" max="14082" width="17.109375" style="20" customWidth="1"/>
    <col min="14083" max="14083" width="14.6640625" style="20" customWidth="1"/>
    <col min="14084" max="14084" width="22.88671875" style="20" customWidth="1"/>
    <col min="14085" max="14086" width="14.44140625" style="20" customWidth="1"/>
    <col min="14087" max="14088" width="16.44140625" style="20" bestFit="1" customWidth="1"/>
    <col min="14089" max="14090" width="16.44140625" style="20" customWidth="1"/>
    <col min="14091" max="14091" width="29.109375" style="20" customWidth="1"/>
    <col min="14092" max="14092" width="33" style="20" customWidth="1"/>
    <col min="14093" max="14093" width="61.44140625" style="20" bestFit="1" customWidth="1"/>
    <col min="14094" max="14335" width="8.88671875" style="20"/>
    <col min="14336" max="14336" width="16" style="20" customWidth="1"/>
    <col min="14337" max="14337" width="12.44140625" style="20" customWidth="1"/>
    <col min="14338" max="14338" width="17.109375" style="20" customWidth="1"/>
    <col min="14339" max="14339" width="14.6640625" style="20" customWidth="1"/>
    <col min="14340" max="14340" width="22.88671875" style="20" customWidth="1"/>
    <col min="14341" max="14342" width="14.44140625" style="20" customWidth="1"/>
    <col min="14343" max="14344" width="16.44140625" style="20" bestFit="1" customWidth="1"/>
    <col min="14345" max="14346" width="16.44140625" style="20" customWidth="1"/>
    <col min="14347" max="14347" width="29.109375" style="20" customWidth="1"/>
    <col min="14348" max="14348" width="33" style="20" customWidth="1"/>
    <col min="14349" max="14349" width="61.44140625" style="20" bestFit="1" customWidth="1"/>
    <col min="14350" max="14591" width="8.88671875" style="20"/>
    <col min="14592" max="14592" width="16" style="20" customWidth="1"/>
    <col min="14593" max="14593" width="12.44140625" style="20" customWidth="1"/>
    <col min="14594" max="14594" width="17.109375" style="20" customWidth="1"/>
    <col min="14595" max="14595" width="14.6640625" style="20" customWidth="1"/>
    <col min="14596" max="14596" width="22.88671875" style="20" customWidth="1"/>
    <col min="14597" max="14598" width="14.44140625" style="20" customWidth="1"/>
    <col min="14599" max="14600" width="16.44140625" style="20" bestFit="1" customWidth="1"/>
    <col min="14601" max="14602" width="16.44140625" style="20" customWidth="1"/>
    <col min="14603" max="14603" width="29.109375" style="20" customWidth="1"/>
    <col min="14604" max="14604" width="33" style="20" customWidth="1"/>
    <col min="14605" max="14605" width="61.44140625" style="20" bestFit="1" customWidth="1"/>
    <col min="14606" max="14847" width="8.88671875" style="20"/>
    <col min="14848" max="14848" width="16" style="20" customWidth="1"/>
    <col min="14849" max="14849" width="12.44140625" style="20" customWidth="1"/>
    <col min="14850" max="14850" width="17.109375" style="20" customWidth="1"/>
    <col min="14851" max="14851" width="14.6640625" style="20" customWidth="1"/>
    <col min="14852" max="14852" width="22.88671875" style="20" customWidth="1"/>
    <col min="14853" max="14854" width="14.44140625" style="20" customWidth="1"/>
    <col min="14855" max="14856" width="16.44140625" style="20" bestFit="1" customWidth="1"/>
    <col min="14857" max="14858" width="16.44140625" style="20" customWidth="1"/>
    <col min="14859" max="14859" width="29.109375" style="20" customWidth="1"/>
    <col min="14860" max="14860" width="33" style="20" customWidth="1"/>
    <col min="14861" max="14861" width="61.44140625" style="20" bestFit="1" customWidth="1"/>
    <col min="14862" max="15103" width="8.88671875" style="20"/>
    <col min="15104" max="15104" width="16" style="20" customWidth="1"/>
    <col min="15105" max="15105" width="12.44140625" style="20" customWidth="1"/>
    <col min="15106" max="15106" width="17.109375" style="20" customWidth="1"/>
    <col min="15107" max="15107" width="14.6640625" style="20" customWidth="1"/>
    <col min="15108" max="15108" width="22.88671875" style="20" customWidth="1"/>
    <col min="15109" max="15110" width="14.44140625" style="20" customWidth="1"/>
    <col min="15111" max="15112" width="16.44140625" style="20" bestFit="1" customWidth="1"/>
    <col min="15113" max="15114" width="16.44140625" style="20" customWidth="1"/>
    <col min="15115" max="15115" width="29.109375" style="20" customWidth="1"/>
    <col min="15116" max="15116" width="33" style="20" customWidth="1"/>
    <col min="15117" max="15117" width="61.44140625" style="20" bestFit="1" customWidth="1"/>
    <col min="15118" max="15359" width="8.88671875" style="20"/>
    <col min="15360" max="15360" width="16" style="20" customWidth="1"/>
    <col min="15361" max="15361" width="12.44140625" style="20" customWidth="1"/>
    <col min="15362" max="15362" width="17.109375" style="20" customWidth="1"/>
    <col min="15363" max="15363" width="14.6640625" style="20" customWidth="1"/>
    <col min="15364" max="15364" width="22.88671875" style="20" customWidth="1"/>
    <col min="15365" max="15366" width="14.44140625" style="20" customWidth="1"/>
    <col min="15367" max="15368" width="16.44140625" style="20" bestFit="1" customWidth="1"/>
    <col min="15369" max="15370" width="16.44140625" style="20" customWidth="1"/>
    <col min="15371" max="15371" width="29.109375" style="20" customWidth="1"/>
    <col min="15372" max="15372" width="33" style="20" customWidth="1"/>
    <col min="15373" max="15373" width="61.44140625" style="20" bestFit="1" customWidth="1"/>
    <col min="15374" max="15615" width="8.88671875" style="20"/>
    <col min="15616" max="15616" width="16" style="20" customWidth="1"/>
    <col min="15617" max="15617" width="12.44140625" style="20" customWidth="1"/>
    <col min="15618" max="15618" width="17.109375" style="20" customWidth="1"/>
    <col min="15619" max="15619" width="14.6640625" style="20" customWidth="1"/>
    <col min="15620" max="15620" width="22.88671875" style="20" customWidth="1"/>
    <col min="15621" max="15622" width="14.44140625" style="20" customWidth="1"/>
    <col min="15623" max="15624" width="16.44140625" style="20" bestFit="1" customWidth="1"/>
    <col min="15625" max="15626" width="16.44140625" style="20" customWidth="1"/>
    <col min="15627" max="15627" width="29.109375" style="20" customWidth="1"/>
    <col min="15628" max="15628" width="33" style="20" customWidth="1"/>
    <col min="15629" max="15629" width="61.44140625" style="20" bestFit="1" customWidth="1"/>
    <col min="15630" max="15871" width="8.88671875" style="20"/>
    <col min="15872" max="15872" width="16" style="20" customWidth="1"/>
    <col min="15873" max="15873" width="12.44140625" style="20" customWidth="1"/>
    <col min="15874" max="15874" width="17.109375" style="20" customWidth="1"/>
    <col min="15875" max="15875" width="14.6640625" style="20" customWidth="1"/>
    <col min="15876" max="15876" width="22.88671875" style="20" customWidth="1"/>
    <col min="15877" max="15878" width="14.44140625" style="20" customWidth="1"/>
    <col min="15879" max="15880" width="16.44140625" style="20" bestFit="1" customWidth="1"/>
    <col min="15881" max="15882" width="16.44140625" style="20" customWidth="1"/>
    <col min="15883" max="15883" width="29.109375" style="20" customWidth="1"/>
    <col min="15884" max="15884" width="33" style="20" customWidth="1"/>
    <col min="15885" max="15885" width="61.44140625" style="20" bestFit="1" customWidth="1"/>
    <col min="15886" max="16127" width="8.88671875" style="20"/>
    <col min="16128" max="16128" width="16" style="20" customWidth="1"/>
    <col min="16129" max="16129" width="12.44140625" style="20" customWidth="1"/>
    <col min="16130" max="16130" width="17.109375" style="20" customWidth="1"/>
    <col min="16131" max="16131" width="14.6640625" style="20" customWidth="1"/>
    <col min="16132" max="16132" width="22.88671875" style="20" customWidth="1"/>
    <col min="16133" max="16134" width="14.44140625" style="20" customWidth="1"/>
    <col min="16135" max="16136" width="16.44140625" style="20" bestFit="1" customWidth="1"/>
    <col min="16137" max="16138" width="16.44140625" style="20" customWidth="1"/>
    <col min="16139" max="16139" width="29.109375" style="20" customWidth="1"/>
    <col min="16140" max="16140" width="33" style="20" customWidth="1"/>
    <col min="16141" max="16141" width="61.44140625" style="20" bestFit="1" customWidth="1"/>
    <col min="16142" max="16384" width="8.88671875" style="20"/>
  </cols>
  <sheetData>
    <row r="1" spans="1:13" ht="14.4">
      <c r="L1" s="75" t="s">
        <v>131</v>
      </c>
    </row>
    <row r="3" spans="1:13" ht="31.2">
      <c r="H3" s="71" t="s">
        <v>119</v>
      </c>
    </row>
    <row r="4" spans="1:13">
      <c r="G4" s="17" t="s">
        <v>221</v>
      </c>
    </row>
    <row r="5" spans="1:13">
      <c r="G5" s="147"/>
    </row>
    <row r="6" spans="1:13">
      <c r="A6" s="191"/>
      <c r="B6" s="191"/>
      <c r="C6" s="191"/>
      <c r="G6" s="192" t="s">
        <v>275</v>
      </c>
      <c r="H6" s="193"/>
      <c r="I6" s="193"/>
      <c r="J6" s="193"/>
      <c r="K6" s="193"/>
      <c r="L6" s="193"/>
    </row>
    <row r="8" spans="1:13" ht="55.8" thickBot="1">
      <c r="A8" s="186" t="s">
        <v>338</v>
      </c>
      <c r="B8" s="186" t="s">
        <v>339</v>
      </c>
      <c r="C8" s="186" t="s">
        <v>273</v>
      </c>
      <c r="D8" s="186" t="s">
        <v>337</v>
      </c>
      <c r="E8" s="186" t="s">
        <v>340</v>
      </c>
      <c r="F8" s="186" t="s">
        <v>270</v>
      </c>
      <c r="G8" s="186" t="s">
        <v>271</v>
      </c>
      <c r="H8" s="186" t="s">
        <v>334</v>
      </c>
      <c r="I8" s="186" t="s">
        <v>332</v>
      </c>
      <c r="J8" s="186" t="s">
        <v>333</v>
      </c>
      <c r="K8" s="186" t="s">
        <v>331</v>
      </c>
      <c r="L8" s="42" t="s">
        <v>335</v>
      </c>
    </row>
    <row r="9" spans="1:13" s="23" customFormat="1" ht="41.4" customHeight="1">
      <c r="A9" s="187" t="s">
        <v>328</v>
      </c>
      <c r="B9" s="179" t="s">
        <v>336</v>
      </c>
      <c r="C9" s="188" t="s">
        <v>78</v>
      </c>
      <c r="D9" s="180" t="s">
        <v>79</v>
      </c>
      <c r="E9" s="180" t="s">
        <v>109</v>
      </c>
      <c r="F9" s="180" t="s">
        <v>80</v>
      </c>
      <c r="G9" s="180" t="s">
        <v>7</v>
      </c>
      <c r="H9" s="189" t="s">
        <v>276</v>
      </c>
      <c r="I9" s="190" t="s">
        <v>13</v>
      </c>
      <c r="J9" s="189" t="s">
        <v>106</v>
      </c>
      <c r="K9" s="190" t="s">
        <v>84</v>
      </c>
      <c r="L9" s="190" t="s">
        <v>105</v>
      </c>
    </row>
    <row r="10" spans="1:13" s="46" customFormat="1" ht="33" customHeight="1">
      <c r="A10" s="24" t="s">
        <v>329</v>
      </c>
      <c r="B10" s="24" t="s">
        <v>112</v>
      </c>
      <c r="C10" s="24" t="s">
        <v>85</v>
      </c>
      <c r="D10" s="25" t="s">
        <v>85</v>
      </c>
      <c r="E10" s="25"/>
      <c r="F10" s="27" t="s">
        <v>87</v>
      </c>
      <c r="G10" s="26" t="s">
        <v>86</v>
      </c>
      <c r="H10" s="44"/>
      <c r="I10" s="44"/>
      <c r="J10" s="44"/>
      <c r="K10" s="45"/>
      <c r="L10" s="45">
        <f>J10-K10</f>
        <v>0</v>
      </c>
      <c r="M10" s="29"/>
    </row>
    <row r="11" spans="1:13" s="46" customFormat="1" ht="33" customHeight="1">
      <c r="A11" s="50" t="s">
        <v>329</v>
      </c>
      <c r="B11" s="50" t="s">
        <v>112</v>
      </c>
      <c r="C11" s="50" t="s">
        <v>258</v>
      </c>
      <c r="D11" s="50" t="s">
        <v>258</v>
      </c>
      <c r="E11" s="30"/>
      <c r="F11" s="32" t="s">
        <v>89</v>
      </c>
      <c r="G11" s="31" t="s">
        <v>88</v>
      </c>
      <c r="H11" s="47"/>
      <c r="I11" s="47"/>
      <c r="J11" s="47"/>
      <c r="K11" s="48"/>
      <c r="L11" s="45">
        <f t="shared" ref="L11:L12" si="0">J11-K11</f>
        <v>0</v>
      </c>
      <c r="M11" s="29"/>
    </row>
    <row r="12" spans="1:13" s="46" customFormat="1" ht="33" customHeight="1">
      <c r="A12" s="50" t="s">
        <v>330</v>
      </c>
      <c r="B12" s="22" t="s">
        <v>113</v>
      </c>
      <c r="C12" s="50" t="s">
        <v>259</v>
      </c>
      <c r="D12" s="50" t="s">
        <v>259</v>
      </c>
      <c r="E12" s="30"/>
      <c r="F12" s="32" t="s">
        <v>91</v>
      </c>
      <c r="G12" s="31" t="s">
        <v>90</v>
      </c>
      <c r="H12" s="47"/>
      <c r="I12" s="47"/>
      <c r="J12" s="47"/>
      <c r="K12" s="48"/>
      <c r="L12" s="48">
        <f t="shared" si="0"/>
        <v>0</v>
      </c>
      <c r="M12" s="29"/>
    </row>
    <row r="13" spans="1:13" s="46" customFormat="1" ht="33" customHeight="1">
      <c r="A13" s="231" t="s">
        <v>107</v>
      </c>
      <c r="B13" s="231"/>
      <c r="C13" s="231"/>
      <c r="D13" s="231"/>
      <c r="E13" s="231"/>
      <c r="F13" s="231"/>
      <c r="G13" s="231"/>
      <c r="H13" s="69"/>
      <c r="I13" s="69"/>
      <c r="J13" s="69"/>
      <c r="K13" s="70"/>
      <c r="L13" s="70"/>
      <c r="M13" s="29"/>
    </row>
  </sheetData>
  <mergeCells count="1">
    <mergeCell ref="A13:G13"/>
  </mergeCells>
  <hyperlinks>
    <hyperlink ref="L1" location="'List of reports'!A1" display="Trở về" xr:uid="{00000000-0004-0000-0300-000000000000}"/>
  </hyperlinks>
  <pageMargins left="0.28000000000000003" right="0.17" top="0.42" bottom="0.23" header="0.3" footer="0.17"/>
  <pageSetup scale="8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zoomScale="85" zoomScaleNormal="85" workbookViewId="0">
      <selection activeCell="J15" sqref="A15:XFD93"/>
    </sheetView>
  </sheetViews>
  <sheetFormatPr defaultColWidth="8.88671875" defaultRowHeight="13.8"/>
  <cols>
    <col min="1" max="1" width="16" style="16" customWidth="1"/>
    <col min="2" max="2" width="12.44140625" style="17" customWidth="1"/>
    <col min="3" max="3" width="16.109375" style="21" customWidth="1"/>
    <col min="4" max="4" width="12.44140625" style="17" customWidth="1"/>
    <col min="5" max="5" width="14.6640625" style="17" customWidth="1"/>
    <col min="6" max="6" width="17.109375" style="17" customWidth="1"/>
    <col min="7" max="7" width="14.44140625" style="18" customWidth="1"/>
    <col min="8" max="8" width="16.44140625" style="18" bestFit="1" customWidth="1"/>
    <col min="9" max="9" width="16.44140625" style="18" customWidth="1"/>
    <col min="10" max="10" width="61.44140625" style="20" bestFit="1" customWidth="1"/>
    <col min="11" max="252" width="8.88671875" style="20"/>
    <col min="253" max="253" width="16" style="20" customWidth="1"/>
    <col min="254" max="254" width="12.44140625" style="20" customWidth="1"/>
    <col min="255" max="255" width="17.109375" style="20" customWidth="1"/>
    <col min="256" max="256" width="14.6640625" style="20" customWidth="1"/>
    <col min="257" max="257" width="22.88671875" style="20" customWidth="1"/>
    <col min="258" max="259" width="14.44140625" style="20" customWidth="1"/>
    <col min="260" max="261" width="16.44140625" style="20" bestFit="1" customWidth="1"/>
    <col min="262" max="263" width="16.44140625" style="20" customWidth="1"/>
    <col min="264" max="264" width="29.109375" style="20" customWidth="1"/>
    <col min="265" max="265" width="33" style="20" customWidth="1"/>
    <col min="266" max="266" width="61.44140625" style="20" bestFit="1" customWidth="1"/>
    <col min="267" max="508" width="8.88671875" style="20"/>
    <col min="509" max="509" width="16" style="20" customWidth="1"/>
    <col min="510" max="510" width="12.44140625" style="20" customWidth="1"/>
    <col min="511" max="511" width="17.109375" style="20" customWidth="1"/>
    <col min="512" max="512" width="14.6640625" style="20" customWidth="1"/>
    <col min="513" max="513" width="22.88671875" style="20" customWidth="1"/>
    <col min="514" max="515" width="14.44140625" style="20" customWidth="1"/>
    <col min="516" max="517" width="16.44140625" style="20" bestFit="1" customWidth="1"/>
    <col min="518" max="519" width="16.44140625" style="20" customWidth="1"/>
    <col min="520" max="520" width="29.109375" style="20" customWidth="1"/>
    <col min="521" max="521" width="33" style="20" customWidth="1"/>
    <col min="522" max="522" width="61.44140625" style="20" bestFit="1" customWidth="1"/>
    <col min="523" max="764" width="8.88671875" style="20"/>
    <col min="765" max="765" width="16" style="20" customWidth="1"/>
    <col min="766" max="766" width="12.44140625" style="20" customWidth="1"/>
    <col min="767" max="767" width="17.109375" style="20" customWidth="1"/>
    <col min="768" max="768" width="14.6640625" style="20" customWidth="1"/>
    <col min="769" max="769" width="22.88671875" style="20" customWidth="1"/>
    <col min="770" max="771" width="14.44140625" style="20" customWidth="1"/>
    <col min="772" max="773" width="16.44140625" style="20" bestFit="1" customWidth="1"/>
    <col min="774" max="775" width="16.44140625" style="20" customWidth="1"/>
    <col min="776" max="776" width="29.109375" style="20" customWidth="1"/>
    <col min="777" max="777" width="33" style="20" customWidth="1"/>
    <col min="778" max="778" width="61.44140625" style="20" bestFit="1" customWidth="1"/>
    <col min="779" max="1020" width="8.88671875" style="20"/>
    <col min="1021" max="1021" width="16" style="20" customWidth="1"/>
    <col min="1022" max="1022" width="12.44140625" style="20" customWidth="1"/>
    <col min="1023" max="1023" width="17.109375" style="20" customWidth="1"/>
    <col min="1024" max="1024" width="14.6640625" style="20" customWidth="1"/>
    <col min="1025" max="1025" width="22.88671875" style="20" customWidth="1"/>
    <col min="1026" max="1027" width="14.44140625" style="20" customWidth="1"/>
    <col min="1028" max="1029" width="16.44140625" style="20" bestFit="1" customWidth="1"/>
    <col min="1030" max="1031" width="16.44140625" style="20" customWidth="1"/>
    <col min="1032" max="1032" width="29.109375" style="20" customWidth="1"/>
    <col min="1033" max="1033" width="33" style="20" customWidth="1"/>
    <col min="1034" max="1034" width="61.44140625" style="20" bestFit="1" customWidth="1"/>
    <col min="1035" max="1276" width="8.88671875" style="20"/>
    <col min="1277" max="1277" width="16" style="20" customWidth="1"/>
    <col min="1278" max="1278" width="12.44140625" style="20" customWidth="1"/>
    <col min="1279" max="1279" width="17.109375" style="20" customWidth="1"/>
    <col min="1280" max="1280" width="14.6640625" style="20" customWidth="1"/>
    <col min="1281" max="1281" width="22.88671875" style="20" customWidth="1"/>
    <col min="1282" max="1283" width="14.44140625" style="20" customWidth="1"/>
    <col min="1284" max="1285" width="16.44140625" style="20" bestFit="1" customWidth="1"/>
    <col min="1286" max="1287" width="16.44140625" style="20" customWidth="1"/>
    <col min="1288" max="1288" width="29.109375" style="20" customWidth="1"/>
    <col min="1289" max="1289" width="33" style="20" customWidth="1"/>
    <col min="1290" max="1290" width="61.44140625" style="20" bestFit="1" customWidth="1"/>
    <col min="1291" max="1532" width="8.88671875" style="20"/>
    <col min="1533" max="1533" width="16" style="20" customWidth="1"/>
    <col min="1534" max="1534" width="12.44140625" style="20" customWidth="1"/>
    <col min="1535" max="1535" width="17.109375" style="20" customWidth="1"/>
    <col min="1536" max="1536" width="14.6640625" style="20" customWidth="1"/>
    <col min="1537" max="1537" width="22.88671875" style="20" customWidth="1"/>
    <col min="1538" max="1539" width="14.44140625" style="20" customWidth="1"/>
    <col min="1540" max="1541" width="16.44140625" style="20" bestFit="1" customWidth="1"/>
    <col min="1542" max="1543" width="16.44140625" style="20" customWidth="1"/>
    <col min="1544" max="1544" width="29.109375" style="20" customWidth="1"/>
    <col min="1545" max="1545" width="33" style="20" customWidth="1"/>
    <col min="1546" max="1546" width="61.44140625" style="20" bestFit="1" customWidth="1"/>
    <col min="1547" max="1788" width="8.88671875" style="20"/>
    <col min="1789" max="1789" width="16" style="20" customWidth="1"/>
    <col min="1790" max="1790" width="12.44140625" style="20" customWidth="1"/>
    <col min="1791" max="1791" width="17.109375" style="20" customWidth="1"/>
    <col min="1792" max="1792" width="14.6640625" style="20" customWidth="1"/>
    <col min="1793" max="1793" width="22.88671875" style="20" customWidth="1"/>
    <col min="1794" max="1795" width="14.44140625" style="20" customWidth="1"/>
    <col min="1796" max="1797" width="16.44140625" style="20" bestFit="1" customWidth="1"/>
    <col min="1798" max="1799" width="16.44140625" style="20" customWidth="1"/>
    <col min="1800" max="1800" width="29.109375" style="20" customWidth="1"/>
    <col min="1801" max="1801" width="33" style="20" customWidth="1"/>
    <col min="1802" max="1802" width="61.44140625" style="20" bestFit="1" customWidth="1"/>
    <col min="1803" max="2044" width="8.88671875" style="20"/>
    <col min="2045" max="2045" width="16" style="20" customWidth="1"/>
    <col min="2046" max="2046" width="12.44140625" style="20" customWidth="1"/>
    <col min="2047" max="2047" width="17.109375" style="20" customWidth="1"/>
    <col min="2048" max="2048" width="14.6640625" style="20" customWidth="1"/>
    <col min="2049" max="2049" width="22.88671875" style="20" customWidth="1"/>
    <col min="2050" max="2051" width="14.44140625" style="20" customWidth="1"/>
    <col min="2052" max="2053" width="16.44140625" style="20" bestFit="1" customWidth="1"/>
    <col min="2054" max="2055" width="16.44140625" style="20" customWidth="1"/>
    <col min="2056" max="2056" width="29.109375" style="20" customWidth="1"/>
    <col min="2057" max="2057" width="33" style="20" customWidth="1"/>
    <col min="2058" max="2058" width="61.44140625" style="20" bestFit="1" customWidth="1"/>
    <col min="2059" max="2300" width="8.88671875" style="20"/>
    <col min="2301" max="2301" width="16" style="20" customWidth="1"/>
    <col min="2302" max="2302" width="12.44140625" style="20" customWidth="1"/>
    <col min="2303" max="2303" width="17.109375" style="20" customWidth="1"/>
    <col min="2304" max="2304" width="14.6640625" style="20" customWidth="1"/>
    <col min="2305" max="2305" width="22.88671875" style="20" customWidth="1"/>
    <col min="2306" max="2307" width="14.44140625" style="20" customWidth="1"/>
    <col min="2308" max="2309" width="16.44140625" style="20" bestFit="1" customWidth="1"/>
    <col min="2310" max="2311" width="16.44140625" style="20" customWidth="1"/>
    <col min="2312" max="2312" width="29.109375" style="20" customWidth="1"/>
    <col min="2313" max="2313" width="33" style="20" customWidth="1"/>
    <col min="2314" max="2314" width="61.44140625" style="20" bestFit="1" customWidth="1"/>
    <col min="2315" max="2556" width="8.88671875" style="20"/>
    <col min="2557" max="2557" width="16" style="20" customWidth="1"/>
    <col min="2558" max="2558" width="12.44140625" style="20" customWidth="1"/>
    <col min="2559" max="2559" width="17.109375" style="20" customWidth="1"/>
    <col min="2560" max="2560" width="14.6640625" style="20" customWidth="1"/>
    <col min="2561" max="2561" width="22.88671875" style="20" customWidth="1"/>
    <col min="2562" max="2563" width="14.44140625" style="20" customWidth="1"/>
    <col min="2564" max="2565" width="16.44140625" style="20" bestFit="1" customWidth="1"/>
    <col min="2566" max="2567" width="16.44140625" style="20" customWidth="1"/>
    <col min="2568" max="2568" width="29.109375" style="20" customWidth="1"/>
    <col min="2569" max="2569" width="33" style="20" customWidth="1"/>
    <col min="2570" max="2570" width="61.44140625" style="20" bestFit="1" customWidth="1"/>
    <col min="2571" max="2812" width="8.88671875" style="20"/>
    <col min="2813" max="2813" width="16" style="20" customWidth="1"/>
    <col min="2814" max="2814" width="12.44140625" style="20" customWidth="1"/>
    <col min="2815" max="2815" width="17.109375" style="20" customWidth="1"/>
    <col min="2816" max="2816" width="14.6640625" style="20" customWidth="1"/>
    <col min="2817" max="2817" width="22.88671875" style="20" customWidth="1"/>
    <col min="2818" max="2819" width="14.44140625" style="20" customWidth="1"/>
    <col min="2820" max="2821" width="16.44140625" style="20" bestFit="1" customWidth="1"/>
    <col min="2822" max="2823" width="16.44140625" style="20" customWidth="1"/>
    <col min="2824" max="2824" width="29.109375" style="20" customWidth="1"/>
    <col min="2825" max="2825" width="33" style="20" customWidth="1"/>
    <col min="2826" max="2826" width="61.44140625" style="20" bestFit="1" customWidth="1"/>
    <col min="2827" max="3068" width="8.88671875" style="20"/>
    <col min="3069" max="3069" width="16" style="20" customWidth="1"/>
    <col min="3070" max="3070" width="12.44140625" style="20" customWidth="1"/>
    <col min="3071" max="3071" width="17.109375" style="20" customWidth="1"/>
    <col min="3072" max="3072" width="14.6640625" style="20" customWidth="1"/>
    <col min="3073" max="3073" width="22.88671875" style="20" customWidth="1"/>
    <col min="3074" max="3075" width="14.44140625" style="20" customWidth="1"/>
    <col min="3076" max="3077" width="16.44140625" style="20" bestFit="1" customWidth="1"/>
    <col min="3078" max="3079" width="16.44140625" style="20" customWidth="1"/>
    <col min="3080" max="3080" width="29.109375" style="20" customWidth="1"/>
    <col min="3081" max="3081" width="33" style="20" customWidth="1"/>
    <col min="3082" max="3082" width="61.44140625" style="20" bestFit="1" customWidth="1"/>
    <col min="3083" max="3324" width="8.88671875" style="20"/>
    <col min="3325" max="3325" width="16" style="20" customWidth="1"/>
    <col min="3326" max="3326" width="12.44140625" style="20" customWidth="1"/>
    <col min="3327" max="3327" width="17.109375" style="20" customWidth="1"/>
    <col min="3328" max="3328" width="14.6640625" style="20" customWidth="1"/>
    <col min="3329" max="3329" width="22.88671875" style="20" customWidth="1"/>
    <col min="3330" max="3331" width="14.44140625" style="20" customWidth="1"/>
    <col min="3332" max="3333" width="16.44140625" style="20" bestFit="1" customWidth="1"/>
    <col min="3334" max="3335" width="16.44140625" style="20" customWidth="1"/>
    <col min="3336" max="3336" width="29.109375" style="20" customWidth="1"/>
    <col min="3337" max="3337" width="33" style="20" customWidth="1"/>
    <col min="3338" max="3338" width="61.44140625" style="20" bestFit="1" customWidth="1"/>
    <col min="3339" max="3580" width="8.88671875" style="20"/>
    <col min="3581" max="3581" width="16" style="20" customWidth="1"/>
    <col min="3582" max="3582" width="12.44140625" style="20" customWidth="1"/>
    <col min="3583" max="3583" width="17.109375" style="20" customWidth="1"/>
    <col min="3584" max="3584" width="14.6640625" style="20" customWidth="1"/>
    <col min="3585" max="3585" width="22.88671875" style="20" customWidth="1"/>
    <col min="3586" max="3587" width="14.44140625" style="20" customWidth="1"/>
    <col min="3588" max="3589" width="16.44140625" style="20" bestFit="1" customWidth="1"/>
    <col min="3590" max="3591" width="16.44140625" style="20" customWidth="1"/>
    <col min="3592" max="3592" width="29.109375" style="20" customWidth="1"/>
    <col min="3593" max="3593" width="33" style="20" customWidth="1"/>
    <col min="3594" max="3594" width="61.44140625" style="20" bestFit="1" customWidth="1"/>
    <col min="3595" max="3836" width="8.88671875" style="20"/>
    <col min="3837" max="3837" width="16" style="20" customWidth="1"/>
    <col min="3838" max="3838" width="12.44140625" style="20" customWidth="1"/>
    <col min="3839" max="3839" width="17.109375" style="20" customWidth="1"/>
    <col min="3840" max="3840" width="14.6640625" style="20" customWidth="1"/>
    <col min="3841" max="3841" width="22.88671875" style="20" customWidth="1"/>
    <col min="3842" max="3843" width="14.44140625" style="20" customWidth="1"/>
    <col min="3844" max="3845" width="16.44140625" style="20" bestFit="1" customWidth="1"/>
    <col min="3846" max="3847" width="16.44140625" style="20" customWidth="1"/>
    <col min="3848" max="3848" width="29.109375" style="20" customWidth="1"/>
    <col min="3849" max="3849" width="33" style="20" customWidth="1"/>
    <col min="3850" max="3850" width="61.44140625" style="20" bestFit="1" customWidth="1"/>
    <col min="3851" max="4092" width="8.88671875" style="20"/>
    <col min="4093" max="4093" width="16" style="20" customWidth="1"/>
    <col min="4094" max="4094" width="12.44140625" style="20" customWidth="1"/>
    <col min="4095" max="4095" width="17.109375" style="20" customWidth="1"/>
    <col min="4096" max="4096" width="14.6640625" style="20" customWidth="1"/>
    <col min="4097" max="4097" width="22.88671875" style="20" customWidth="1"/>
    <col min="4098" max="4099" width="14.44140625" style="20" customWidth="1"/>
    <col min="4100" max="4101" width="16.44140625" style="20" bestFit="1" customWidth="1"/>
    <col min="4102" max="4103" width="16.44140625" style="20" customWidth="1"/>
    <col min="4104" max="4104" width="29.109375" style="20" customWidth="1"/>
    <col min="4105" max="4105" width="33" style="20" customWidth="1"/>
    <col min="4106" max="4106" width="61.44140625" style="20" bestFit="1" customWidth="1"/>
    <col min="4107" max="4348" width="8.88671875" style="20"/>
    <col min="4349" max="4349" width="16" style="20" customWidth="1"/>
    <col min="4350" max="4350" width="12.44140625" style="20" customWidth="1"/>
    <col min="4351" max="4351" width="17.109375" style="20" customWidth="1"/>
    <col min="4352" max="4352" width="14.6640625" style="20" customWidth="1"/>
    <col min="4353" max="4353" width="22.88671875" style="20" customWidth="1"/>
    <col min="4354" max="4355" width="14.44140625" style="20" customWidth="1"/>
    <col min="4356" max="4357" width="16.44140625" style="20" bestFit="1" customWidth="1"/>
    <col min="4358" max="4359" width="16.44140625" style="20" customWidth="1"/>
    <col min="4360" max="4360" width="29.109375" style="20" customWidth="1"/>
    <col min="4361" max="4361" width="33" style="20" customWidth="1"/>
    <col min="4362" max="4362" width="61.44140625" style="20" bestFit="1" customWidth="1"/>
    <col min="4363" max="4604" width="8.88671875" style="20"/>
    <col min="4605" max="4605" width="16" style="20" customWidth="1"/>
    <col min="4606" max="4606" width="12.44140625" style="20" customWidth="1"/>
    <col min="4607" max="4607" width="17.109375" style="20" customWidth="1"/>
    <col min="4608" max="4608" width="14.6640625" style="20" customWidth="1"/>
    <col min="4609" max="4609" width="22.88671875" style="20" customWidth="1"/>
    <col min="4610" max="4611" width="14.44140625" style="20" customWidth="1"/>
    <col min="4612" max="4613" width="16.44140625" style="20" bestFit="1" customWidth="1"/>
    <col min="4614" max="4615" width="16.44140625" style="20" customWidth="1"/>
    <col min="4616" max="4616" width="29.109375" style="20" customWidth="1"/>
    <col min="4617" max="4617" width="33" style="20" customWidth="1"/>
    <col min="4618" max="4618" width="61.44140625" style="20" bestFit="1" customWidth="1"/>
    <col min="4619" max="4860" width="8.88671875" style="20"/>
    <col min="4861" max="4861" width="16" style="20" customWidth="1"/>
    <col min="4862" max="4862" width="12.44140625" style="20" customWidth="1"/>
    <col min="4863" max="4863" width="17.109375" style="20" customWidth="1"/>
    <col min="4864" max="4864" width="14.6640625" style="20" customWidth="1"/>
    <col min="4865" max="4865" width="22.88671875" style="20" customWidth="1"/>
    <col min="4866" max="4867" width="14.44140625" style="20" customWidth="1"/>
    <col min="4868" max="4869" width="16.44140625" style="20" bestFit="1" customWidth="1"/>
    <col min="4870" max="4871" width="16.44140625" style="20" customWidth="1"/>
    <col min="4872" max="4872" width="29.109375" style="20" customWidth="1"/>
    <col min="4873" max="4873" width="33" style="20" customWidth="1"/>
    <col min="4874" max="4874" width="61.44140625" style="20" bestFit="1" customWidth="1"/>
    <col min="4875" max="5116" width="8.88671875" style="20"/>
    <col min="5117" max="5117" width="16" style="20" customWidth="1"/>
    <col min="5118" max="5118" width="12.44140625" style="20" customWidth="1"/>
    <col min="5119" max="5119" width="17.109375" style="20" customWidth="1"/>
    <col min="5120" max="5120" width="14.6640625" style="20" customWidth="1"/>
    <col min="5121" max="5121" width="22.88671875" style="20" customWidth="1"/>
    <col min="5122" max="5123" width="14.44140625" style="20" customWidth="1"/>
    <col min="5124" max="5125" width="16.44140625" style="20" bestFit="1" customWidth="1"/>
    <col min="5126" max="5127" width="16.44140625" style="20" customWidth="1"/>
    <col min="5128" max="5128" width="29.109375" style="20" customWidth="1"/>
    <col min="5129" max="5129" width="33" style="20" customWidth="1"/>
    <col min="5130" max="5130" width="61.44140625" style="20" bestFit="1" customWidth="1"/>
    <col min="5131" max="5372" width="8.88671875" style="20"/>
    <col min="5373" max="5373" width="16" style="20" customWidth="1"/>
    <col min="5374" max="5374" width="12.44140625" style="20" customWidth="1"/>
    <col min="5375" max="5375" width="17.109375" style="20" customWidth="1"/>
    <col min="5376" max="5376" width="14.6640625" style="20" customWidth="1"/>
    <col min="5377" max="5377" width="22.88671875" style="20" customWidth="1"/>
    <col min="5378" max="5379" width="14.44140625" style="20" customWidth="1"/>
    <col min="5380" max="5381" width="16.44140625" style="20" bestFit="1" customWidth="1"/>
    <col min="5382" max="5383" width="16.44140625" style="20" customWidth="1"/>
    <col min="5384" max="5384" width="29.109375" style="20" customWidth="1"/>
    <col min="5385" max="5385" width="33" style="20" customWidth="1"/>
    <col min="5386" max="5386" width="61.44140625" style="20" bestFit="1" customWidth="1"/>
    <col min="5387" max="5628" width="8.88671875" style="20"/>
    <col min="5629" max="5629" width="16" style="20" customWidth="1"/>
    <col min="5630" max="5630" width="12.44140625" style="20" customWidth="1"/>
    <col min="5631" max="5631" width="17.109375" style="20" customWidth="1"/>
    <col min="5632" max="5632" width="14.6640625" style="20" customWidth="1"/>
    <col min="5633" max="5633" width="22.88671875" style="20" customWidth="1"/>
    <col min="5634" max="5635" width="14.44140625" style="20" customWidth="1"/>
    <col min="5636" max="5637" width="16.44140625" style="20" bestFit="1" customWidth="1"/>
    <col min="5638" max="5639" width="16.44140625" style="20" customWidth="1"/>
    <col min="5640" max="5640" width="29.109375" style="20" customWidth="1"/>
    <col min="5641" max="5641" width="33" style="20" customWidth="1"/>
    <col min="5642" max="5642" width="61.44140625" style="20" bestFit="1" customWidth="1"/>
    <col min="5643" max="5884" width="8.88671875" style="20"/>
    <col min="5885" max="5885" width="16" style="20" customWidth="1"/>
    <col min="5886" max="5886" width="12.44140625" style="20" customWidth="1"/>
    <col min="5887" max="5887" width="17.109375" style="20" customWidth="1"/>
    <col min="5888" max="5888" width="14.6640625" style="20" customWidth="1"/>
    <col min="5889" max="5889" width="22.88671875" style="20" customWidth="1"/>
    <col min="5890" max="5891" width="14.44140625" style="20" customWidth="1"/>
    <col min="5892" max="5893" width="16.44140625" style="20" bestFit="1" customWidth="1"/>
    <col min="5894" max="5895" width="16.44140625" style="20" customWidth="1"/>
    <col min="5896" max="5896" width="29.109375" style="20" customWidth="1"/>
    <col min="5897" max="5897" width="33" style="20" customWidth="1"/>
    <col min="5898" max="5898" width="61.44140625" style="20" bestFit="1" customWidth="1"/>
    <col min="5899" max="6140" width="8.88671875" style="20"/>
    <col min="6141" max="6141" width="16" style="20" customWidth="1"/>
    <col min="6142" max="6142" width="12.44140625" style="20" customWidth="1"/>
    <col min="6143" max="6143" width="17.109375" style="20" customWidth="1"/>
    <col min="6144" max="6144" width="14.6640625" style="20" customWidth="1"/>
    <col min="6145" max="6145" width="22.88671875" style="20" customWidth="1"/>
    <col min="6146" max="6147" width="14.44140625" style="20" customWidth="1"/>
    <col min="6148" max="6149" width="16.44140625" style="20" bestFit="1" customWidth="1"/>
    <col min="6150" max="6151" width="16.44140625" style="20" customWidth="1"/>
    <col min="6152" max="6152" width="29.109375" style="20" customWidth="1"/>
    <col min="6153" max="6153" width="33" style="20" customWidth="1"/>
    <col min="6154" max="6154" width="61.44140625" style="20" bestFit="1" customWidth="1"/>
    <col min="6155" max="6396" width="8.88671875" style="20"/>
    <col min="6397" max="6397" width="16" style="20" customWidth="1"/>
    <col min="6398" max="6398" width="12.44140625" style="20" customWidth="1"/>
    <col min="6399" max="6399" width="17.109375" style="20" customWidth="1"/>
    <col min="6400" max="6400" width="14.6640625" style="20" customWidth="1"/>
    <col min="6401" max="6401" width="22.88671875" style="20" customWidth="1"/>
    <col min="6402" max="6403" width="14.44140625" style="20" customWidth="1"/>
    <col min="6404" max="6405" width="16.44140625" style="20" bestFit="1" customWidth="1"/>
    <col min="6406" max="6407" width="16.44140625" style="20" customWidth="1"/>
    <col min="6408" max="6408" width="29.109375" style="20" customWidth="1"/>
    <col min="6409" max="6409" width="33" style="20" customWidth="1"/>
    <col min="6410" max="6410" width="61.44140625" style="20" bestFit="1" customWidth="1"/>
    <col min="6411" max="6652" width="8.88671875" style="20"/>
    <col min="6653" max="6653" width="16" style="20" customWidth="1"/>
    <col min="6654" max="6654" width="12.44140625" style="20" customWidth="1"/>
    <col min="6655" max="6655" width="17.109375" style="20" customWidth="1"/>
    <col min="6656" max="6656" width="14.6640625" style="20" customWidth="1"/>
    <col min="6657" max="6657" width="22.88671875" style="20" customWidth="1"/>
    <col min="6658" max="6659" width="14.44140625" style="20" customWidth="1"/>
    <col min="6660" max="6661" width="16.44140625" style="20" bestFit="1" customWidth="1"/>
    <col min="6662" max="6663" width="16.44140625" style="20" customWidth="1"/>
    <col min="6664" max="6664" width="29.109375" style="20" customWidth="1"/>
    <col min="6665" max="6665" width="33" style="20" customWidth="1"/>
    <col min="6666" max="6666" width="61.44140625" style="20" bestFit="1" customWidth="1"/>
    <col min="6667" max="6908" width="8.88671875" style="20"/>
    <col min="6909" max="6909" width="16" style="20" customWidth="1"/>
    <col min="6910" max="6910" width="12.44140625" style="20" customWidth="1"/>
    <col min="6911" max="6911" width="17.109375" style="20" customWidth="1"/>
    <col min="6912" max="6912" width="14.6640625" style="20" customWidth="1"/>
    <col min="6913" max="6913" width="22.88671875" style="20" customWidth="1"/>
    <col min="6914" max="6915" width="14.44140625" style="20" customWidth="1"/>
    <col min="6916" max="6917" width="16.44140625" style="20" bestFit="1" customWidth="1"/>
    <col min="6918" max="6919" width="16.44140625" style="20" customWidth="1"/>
    <col min="6920" max="6920" width="29.109375" style="20" customWidth="1"/>
    <col min="6921" max="6921" width="33" style="20" customWidth="1"/>
    <col min="6922" max="6922" width="61.44140625" style="20" bestFit="1" customWidth="1"/>
    <col min="6923" max="7164" width="8.88671875" style="20"/>
    <col min="7165" max="7165" width="16" style="20" customWidth="1"/>
    <col min="7166" max="7166" width="12.44140625" style="20" customWidth="1"/>
    <col min="7167" max="7167" width="17.109375" style="20" customWidth="1"/>
    <col min="7168" max="7168" width="14.6640625" style="20" customWidth="1"/>
    <col min="7169" max="7169" width="22.88671875" style="20" customWidth="1"/>
    <col min="7170" max="7171" width="14.44140625" style="20" customWidth="1"/>
    <col min="7172" max="7173" width="16.44140625" style="20" bestFit="1" customWidth="1"/>
    <col min="7174" max="7175" width="16.44140625" style="20" customWidth="1"/>
    <col min="7176" max="7176" width="29.109375" style="20" customWidth="1"/>
    <col min="7177" max="7177" width="33" style="20" customWidth="1"/>
    <col min="7178" max="7178" width="61.44140625" style="20" bestFit="1" customWidth="1"/>
    <col min="7179" max="7420" width="8.88671875" style="20"/>
    <col min="7421" max="7421" width="16" style="20" customWidth="1"/>
    <col min="7422" max="7422" width="12.44140625" style="20" customWidth="1"/>
    <col min="7423" max="7423" width="17.109375" style="20" customWidth="1"/>
    <col min="7424" max="7424" width="14.6640625" style="20" customWidth="1"/>
    <col min="7425" max="7425" width="22.88671875" style="20" customWidth="1"/>
    <col min="7426" max="7427" width="14.44140625" style="20" customWidth="1"/>
    <col min="7428" max="7429" width="16.44140625" style="20" bestFit="1" customWidth="1"/>
    <col min="7430" max="7431" width="16.44140625" style="20" customWidth="1"/>
    <col min="7432" max="7432" width="29.109375" style="20" customWidth="1"/>
    <col min="7433" max="7433" width="33" style="20" customWidth="1"/>
    <col min="7434" max="7434" width="61.44140625" style="20" bestFit="1" customWidth="1"/>
    <col min="7435" max="7676" width="8.88671875" style="20"/>
    <col min="7677" max="7677" width="16" style="20" customWidth="1"/>
    <col min="7678" max="7678" width="12.44140625" style="20" customWidth="1"/>
    <col min="7679" max="7679" width="17.109375" style="20" customWidth="1"/>
    <col min="7680" max="7680" width="14.6640625" style="20" customWidth="1"/>
    <col min="7681" max="7681" width="22.88671875" style="20" customWidth="1"/>
    <col min="7682" max="7683" width="14.44140625" style="20" customWidth="1"/>
    <col min="7684" max="7685" width="16.44140625" style="20" bestFit="1" customWidth="1"/>
    <col min="7686" max="7687" width="16.44140625" style="20" customWidth="1"/>
    <col min="7688" max="7688" width="29.109375" style="20" customWidth="1"/>
    <col min="7689" max="7689" width="33" style="20" customWidth="1"/>
    <col min="7690" max="7690" width="61.44140625" style="20" bestFit="1" customWidth="1"/>
    <col min="7691" max="7932" width="8.88671875" style="20"/>
    <col min="7933" max="7933" width="16" style="20" customWidth="1"/>
    <col min="7934" max="7934" width="12.44140625" style="20" customWidth="1"/>
    <col min="7935" max="7935" width="17.109375" style="20" customWidth="1"/>
    <col min="7936" max="7936" width="14.6640625" style="20" customWidth="1"/>
    <col min="7937" max="7937" width="22.88671875" style="20" customWidth="1"/>
    <col min="7938" max="7939" width="14.44140625" style="20" customWidth="1"/>
    <col min="7940" max="7941" width="16.44140625" style="20" bestFit="1" customWidth="1"/>
    <col min="7942" max="7943" width="16.44140625" style="20" customWidth="1"/>
    <col min="7944" max="7944" width="29.109375" style="20" customWidth="1"/>
    <col min="7945" max="7945" width="33" style="20" customWidth="1"/>
    <col min="7946" max="7946" width="61.44140625" style="20" bestFit="1" customWidth="1"/>
    <col min="7947" max="8188" width="8.88671875" style="20"/>
    <col min="8189" max="8189" width="16" style="20" customWidth="1"/>
    <col min="8190" max="8190" width="12.44140625" style="20" customWidth="1"/>
    <col min="8191" max="8191" width="17.109375" style="20" customWidth="1"/>
    <col min="8192" max="8192" width="14.6640625" style="20" customWidth="1"/>
    <col min="8193" max="8193" width="22.88671875" style="20" customWidth="1"/>
    <col min="8194" max="8195" width="14.44140625" style="20" customWidth="1"/>
    <col min="8196" max="8197" width="16.44140625" style="20" bestFit="1" customWidth="1"/>
    <col min="8198" max="8199" width="16.44140625" style="20" customWidth="1"/>
    <col min="8200" max="8200" width="29.109375" style="20" customWidth="1"/>
    <col min="8201" max="8201" width="33" style="20" customWidth="1"/>
    <col min="8202" max="8202" width="61.44140625" style="20" bestFit="1" customWidth="1"/>
    <col min="8203" max="8444" width="8.88671875" style="20"/>
    <col min="8445" max="8445" width="16" style="20" customWidth="1"/>
    <col min="8446" max="8446" width="12.44140625" style="20" customWidth="1"/>
    <col min="8447" max="8447" width="17.109375" style="20" customWidth="1"/>
    <col min="8448" max="8448" width="14.6640625" style="20" customWidth="1"/>
    <col min="8449" max="8449" width="22.88671875" style="20" customWidth="1"/>
    <col min="8450" max="8451" width="14.44140625" style="20" customWidth="1"/>
    <col min="8452" max="8453" width="16.44140625" style="20" bestFit="1" customWidth="1"/>
    <col min="8454" max="8455" width="16.44140625" style="20" customWidth="1"/>
    <col min="8456" max="8456" width="29.109375" style="20" customWidth="1"/>
    <col min="8457" max="8457" width="33" style="20" customWidth="1"/>
    <col min="8458" max="8458" width="61.44140625" style="20" bestFit="1" customWidth="1"/>
    <col min="8459" max="8700" width="8.88671875" style="20"/>
    <col min="8701" max="8701" width="16" style="20" customWidth="1"/>
    <col min="8702" max="8702" width="12.44140625" style="20" customWidth="1"/>
    <col min="8703" max="8703" width="17.109375" style="20" customWidth="1"/>
    <col min="8704" max="8704" width="14.6640625" style="20" customWidth="1"/>
    <col min="8705" max="8705" width="22.88671875" style="20" customWidth="1"/>
    <col min="8706" max="8707" width="14.44140625" style="20" customWidth="1"/>
    <col min="8708" max="8709" width="16.44140625" style="20" bestFit="1" customWidth="1"/>
    <col min="8710" max="8711" width="16.44140625" style="20" customWidth="1"/>
    <col min="8712" max="8712" width="29.109375" style="20" customWidth="1"/>
    <col min="8713" max="8713" width="33" style="20" customWidth="1"/>
    <col min="8714" max="8714" width="61.44140625" style="20" bestFit="1" customWidth="1"/>
    <col min="8715" max="8956" width="8.88671875" style="20"/>
    <col min="8957" max="8957" width="16" style="20" customWidth="1"/>
    <col min="8958" max="8958" width="12.44140625" style="20" customWidth="1"/>
    <col min="8959" max="8959" width="17.109375" style="20" customWidth="1"/>
    <col min="8960" max="8960" width="14.6640625" style="20" customWidth="1"/>
    <col min="8961" max="8961" width="22.88671875" style="20" customWidth="1"/>
    <col min="8962" max="8963" width="14.44140625" style="20" customWidth="1"/>
    <col min="8964" max="8965" width="16.44140625" style="20" bestFit="1" customWidth="1"/>
    <col min="8966" max="8967" width="16.44140625" style="20" customWidth="1"/>
    <col min="8968" max="8968" width="29.109375" style="20" customWidth="1"/>
    <col min="8969" max="8969" width="33" style="20" customWidth="1"/>
    <col min="8970" max="8970" width="61.44140625" style="20" bestFit="1" customWidth="1"/>
    <col min="8971" max="9212" width="8.88671875" style="20"/>
    <col min="9213" max="9213" width="16" style="20" customWidth="1"/>
    <col min="9214" max="9214" width="12.44140625" style="20" customWidth="1"/>
    <col min="9215" max="9215" width="17.109375" style="20" customWidth="1"/>
    <col min="9216" max="9216" width="14.6640625" style="20" customWidth="1"/>
    <col min="9217" max="9217" width="22.88671875" style="20" customWidth="1"/>
    <col min="9218" max="9219" width="14.44140625" style="20" customWidth="1"/>
    <col min="9220" max="9221" width="16.44140625" style="20" bestFit="1" customWidth="1"/>
    <col min="9222" max="9223" width="16.44140625" style="20" customWidth="1"/>
    <col min="9224" max="9224" width="29.109375" style="20" customWidth="1"/>
    <col min="9225" max="9225" width="33" style="20" customWidth="1"/>
    <col min="9226" max="9226" width="61.44140625" style="20" bestFit="1" customWidth="1"/>
    <col min="9227" max="9468" width="8.88671875" style="20"/>
    <col min="9469" max="9469" width="16" style="20" customWidth="1"/>
    <col min="9470" max="9470" width="12.44140625" style="20" customWidth="1"/>
    <col min="9471" max="9471" width="17.109375" style="20" customWidth="1"/>
    <col min="9472" max="9472" width="14.6640625" style="20" customWidth="1"/>
    <col min="9473" max="9473" width="22.88671875" style="20" customWidth="1"/>
    <col min="9474" max="9475" width="14.44140625" style="20" customWidth="1"/>
    <col min="9476" max="9477" width="16.44140625" style="20" bestFit="1" customWidth="1"/>
    <col min="9478" max="9479" width="16.44140625" style="20" customWidth="1"/>
    <col min="9480" max="9480" width="29.109375" style="20" customWidth="1"/>
    <col min="9481" max="9481" width="33" style="20" customWidth="1"/>
    <col min="9482" max="9482" width="61.44140625" style="20" bestFit="1" customWidth="1"/>
    <col min="9483" max="9724" width="8.88671875" style="20"/>
    <col min="9725" max="9725" width="16" style="20" customWidth="1"/>
    <col min="9726" max="9726" width="12.44140625" style="20" customWidth="1"/>
    <col min="9727" max="9727" width="17.109375" style="20" customWidth="1"/>
    <col min="9728" max="9728" width="14.6640625" style="20" customWidth="1"/>
    <col min="9729" max="9729" width="22.88671875" style="20" customWidth="1"/>
    <col min="9730" max="9731" width="14.44140625" style="20" customWidth="1"/>
    <col min="9732" max="9733" width="16.44140625" style="20" bestFit="1" customWidth="1"/>
    <col min="9734" max="9735" width="16.44140625" style="20" customWidth="1"/>
    <col min="9736" max="9736" width="29.109375" style="20" customWidth="1"/>
    <col min="9737" max="9737" width="33" style="20" customWidth="1"/>
    <col min="9738" max="9738" width="61.44140625" style="20" bestFit="1" customWidth="1"/>
    <col min="9739" max="9980" width="8.88671875" style="20"/>
    <col min="9981" max="9981" width="16" style="20" customWidth="1"/>
    <col min="9982" max="9982" width="12.44140625" style="20" customWidth="1"/>
    <col min="9983" max="9983" width="17.109375" style="20" customWidth="1"/>
    <col min="9984" max="9984" width="14.6640625" style="20" customWidth="1"/>
    <col min="9985" max="9985" width="22.88671875" style="20" customWidth="1"/>
    <col min="9986" max="9987" width="14.44140625" style="20" customWidth="1"/>
    <col min="9988" max="9989" width="16.44140625" style="20" bestFit="1" customWidth="1"/>
    <col min="9990" max="9991" width="16.44140625" style="20" customWidth="1"/>
    <col min="9992" max="9992" width="29.109375" style="20" customWidth="1"/>
    <col min="9993" max="9993" width="33" style="20" customWidth="1"/>
    <col min="9994" max="9994" width="61.44140625" style="20" bestFit="1" customWidth="1"/>
    <col min="9995" max="10236" width="8.88671875" style="20"/>
    <col min="10237" max="10237" width="16" style="20" customWidth="1"/>
    <col min="10238" max="10238" width="12.44140625" style="20" customWidth="1"/>
    <col min="10239" max="10239" width="17.109375" style="20" customWidth="1"/>
    <col min="10240" max="10240" width="14.6640625" style="20" customWidth="1"/>
    <col min="10241" max="10241" width="22.88671875" style="20" customWidth="1"/>
    <col min="10242" max="10243" width="14.44140625" style="20" customWidth="1"/>
    <col min="10244" max="10245" width="16.44140625" style="20" bestFit="1" customWidth="1"/>
    <col min="10246" max="10247" width="16.44140625" style="20" customWidth="1"/>
    <col min="10248" max="10248" width="29.109375" style="20" customWidth="1"/>
    <col min="10249" max="10249" width="33" style="20" customWidth="1"/>
    <col min="10250" max="10250" width="61.44140625" style="20" bestFit="1" customWidth="1"/>
    <col min="10251" max="10492" width="8.88671875" style="20"/>
    <col min="10493" max="10493" width="16" style="20" customWidth="1"/>
    <col min="10494" max="10494" width="12.44140625" style="20" customWidth="1"/>
    <col min="10495" max="10495" width="17.109375" style="20" customWidth="1"/>
    <col min="10496" max="10496" width="14.6640625" style="20" customWidth="1"/>
    <col min="10497" max="10497" width="22.88671875" style="20" customWidth="1"/>
    <col min="10498" max="10499" width="14.44140625" style="20" customWidth="1"/>
    <col min="10500" max="10501" width="16.44140625" style="20" bestFit="1" customWidth="1"/>
    <col min="10502" max="10503" width="16.44140625" style="20" customWidth="1"/>
    <col min="10504" max="10504" width="29.109375" style="20" customWidth="1"/>
    <col min="10505" max="10505" width="33" style="20" customWidth="1"/>
    <col min="10506" max="10506" width="61.44140625" style="20" bestFit="1" customWidth="1"/>
    <col min="10507" max="10748" width="8.88671875" style="20"/>
    <col min="10749" max="10749" width="16" style="20" customWidth="1"/>
    <col min="10750" max="10750" width="12.44140625" style="20" customWidth="1"/>
    <col min="10751" max="10751" width="17.109375" style="20" customWidth="1"/>
    <col min="10752" max="10752" width="14.6640625" style="20" customWidth="1"/>
    <col min="10753" max="10753" width="22.88671875" style="20" customWidth="1"/>
    <col min="10754" max="10755" width="14.44140625" style="20" customWidth="1"/>
    <col min="10756" max="10757" width="16.44140625" style="20" bestFit="1" customWidth="1"/>
    <col min="10758" max="10759" width="16.44140625" style="20" customWidth="1"/>
    <col min="10760" max="10760" width="29.109375" style="20" customWidth="1"/>
    <col min="10761" max="10761" width="33" style="20" customWidth="1"/>
    <col min="10762" max="10762" width="61.44140625" style="20" bestFit="1" customWidth="1"/>
    <col min="10763" max="11004" width="8.88671875" style="20"/>
    <col min="11005" max="11005" width="16" style="20" customWidth="1"/>
    <col min="11006" max="11006" width="12.44140625" style="20" customWidth="1"/>
    <col min="11007" max="11007" width="17.109375" style="20" customWidth="1"/>
    <col min="11008" max="11008" width="14.6640625" style="20" customWidth="1"/>
    <col min="11009" max="11009" width="22.88671875" style="20" customWidth="1"/>
    <col min="11010" max="11011" width="14.44140625" style="20" customWidth="1"/>
    <col min="11012" max="11013" width="16.44140625" style="20" bestFit="1" customWidth="1"/>
    <col min="11014" max="11015" width="16.44140625" style="20" customWidth="1"/>
    <col min="11016" max="11016" width="29.109375" style="20" customWidth="1"/>
    <col min="11017" max="11017" width="33" style="20" customWidth="1"/>
    <col min="11018" max="11018" width="61.44140625" style="20" bestFit="1" customWidth="1"/>
    <col min="11019" max="11260" width="8.88671875" style="20"/>
    <col min="11261" max="11261" width="16" style="20" customWidth="1"/>
    <col min="11262" max="11262" width="12.44140625" style="20" customWidth="1"/>
    <col min="11263" max="11263" width="17.109375" style="20" customWidth="1"/>
    <col min="11264" max="11264" width="14.6640625" style="20" customWidth="1"/>
    <col min="11265" max="11265" width="22.88671875" style="20" customWidth="1"/>
    <col min="11266" max="11267" width="14.44140625" style="20" customWidth="1"/>
    <col min="11268" max="11269" width="16.44140625" style="20" bestFit="1" customWidth="1"/>
    <col min="11270" max="11271" width="16.44140625" style="20" customWidth="1"/>
    <col min="11272" max="11272" width="29.109375" style="20" customWidth="1"/>
    <col min="11273" max="11273" width="33" style="20" customWidth="1"/>
    <col min="11274" max="11274" width="61.44140625" style="20" bestFit="1" customWidth="1"/>
    <col min="11275" max="11516" width="8.88671875" style="20"/>
    <col min="11517" max="11517" width="16" style="20" customWidth="1"/>
    <col min="11518" max="11518" width="12.44140625" style="20" customWidth="1"/>
    <col min="11519" max="11519" width="17.109375" style="20" customWidth="1"/>
    <col min="11520" max="11520" width="14.6640625" style="20" customWidth="1"/>
    <col min="11521" max="11521" width="22.88671875" style="20" customWidth="1"/>
    <col min="11522" max="11523" width="14.44140625" style="20" customWidth="1"/>
    <col min="11524" max="11525" width="16.44140625" style="20" bestFit="1" customWidth="1"/>
    <col min="11526" max="11527" width="16.44140625" style="20" customWidth="1"/>
    <col min="11528" max="11528" width="29.109375" style="20" customWidth="1"/>
    <col min="11529" max="11529" width="33" style="20" customWidth="1"/>
    <col min="11530" max="11530" width="61.44140625" style="20" bestFit="1" customWidth="1"/>
    <col min="11531" max="11772" width="8.88671875" style="20"/>
    <col min="11773" max="11773" width="16" style="20" customWidth="1"/>
    <col min="11774" max="11774" width="12.44140625" style="20" customWidth="1"/>
    <col min="11775" max="11775" width="17.109375" style="20" customWidth="1"/>
    <col min="11776" max="11776" width="14.6640625" style="20" customWidth="1"/>
    <col min="11777" max="11777" width="22.88671875" style="20" customWidth="1"/>
    <col min="11778" max="11779" width="14.44140625" style="20" customWidth="1"/>
    <col min="11780" max="11781" width="16.44140625" style="20" bestFit="1" customWidth="1"/>
    <col min="11782" max="11783" width="16.44140625" style="20" customWidth="1"/>
    <col min="11784" max="11784" width="29.109375" style="20" customWidth="1"/>
    <col min="11785" max="11785" width="33" style="20" customWidth="1"/>
    <col min="11786" max="11786" width="61.44140625" style="20" bestFit="1" customWidth="1"/>
    <col min="11787" max="12028" width="8.88671875" style="20"/>
    <col min="12029" max="12029" width="16" style="20" customWidth="1"/>
    <col min="12030" max="12030" width="12.44140625" style="20" customWidth="1"/>
    <col min="12031" max="12031" width="17.109375" style="20" customWidth="1"/>
    <col min="12032" max="12032" width="14.6640625" style="20" customWidth="1"/>
    <col min="12033" max="12033" width="22.88671875" style="20" customWidth="1"/>
    <col min="12034" max="12035" width="14.44140625" style="20" customWidth="1"/>
    <col min="12036" max="12037" width="16.44140625" style="20" bestFit="1" customWidth="1"/>
    <col min="12038" max="12039" width="16.44140625" style="20" customWidth="1"/>
    <col min="12040" max="12040" width="29.109375" style="20" customWidth="1"/>
    <col min="12041" max="12041" width="33" style="20" customWidth="1"/>
    <col min="12042" max="12042" width="61.44140625" style="20" bestFit="1" customWidth="1"/>
    <col min="12043" max="12284" width="8.88671875" style="20"/>
    <col min="12285" max="12285" width="16" style="20" customWidth="1"/>
    <col min="12286" max="12286" width="12.44140625" style="20" customWidth="1"/>
    <col min="12287" max="12287" width="17.109375" style="20" customWidth="1"/>
    <col min="12288" max="12288" width="14.6640625" style="20" customWidth="1"/>
    <col min="12289" max="12289" width="22.88671875" style="20" customWidth="1"/>
    <col min="12290" max="12291" width="14.44140625" style="20" customWidth="1"/>
    <col min="12292" max="12293" width="16.44140625" style="20" bestFit="1" customWidth="1"/>
    <col min="12294" max="12295" width="16.44140625" style="20" customWidth="1"/>
    <col min="12296" max="12296" width="29.109375" style="20" customWidth="1"/>
    <col min="12297" max="12297" width="33" style="20" customWidth="1"/>
    <col min="12298" max="12298" width="61.44140625" style="20" bestFit="1" customWidth="1"/>
    <col min="12299" max="12540" width="8.88671875" style="20"/>
    <col min="12541" max="12541" width="16" style="20" customWidth="1"/>
    <col min="12542" max="12542" width="12.44140625" style="20" customWidth="1"/>
    <col min="12543" max="12543" width="17.109375" style="20" customWidth="1"/>
    <col min="12544" max="12544" width="14.6640625" style="20" customWidth="1"/>
    <col min="12545" max="12545" width="22.88671875" style="20" customWidth="1"/>
    <col min="12546" max="12547" width="14.44140625" style="20" customWidth="1"/>
    <col min="12548" max="12549" width="16.44140625" style="20" bestFit="1" customWidth="1"/>
    <col min="12550" max="12551" width="16.44140625" style="20" customWidth="1"/>
    <col min="12552" max="12552" width="29.109375" style="20" customWidth="1"/>
    <col min="12553" max="12553" width="33" style="20" customWidth="1"/>
    <col min="12554" max="12554" width="61.44140625" style="20" bestFit="1" customWidth="1"/>
    <col min="12555" max="12796" width="8.88671875" style="20"/>
    <col min="12797" max="12797" width="16" style="20" customWidth="1"/>
    <col min="12798" max="12798" width="12.44140625" style="20" customWidth="1"/>
    <col min="12799" max="12799" width="17.109375" style="20" customWidth="1"/>
    <col min="12800" max="12800" width="14.6640625" style="20" customWidth="1"/>
    <col min="12801" max="12801" width="22.88671875" style="20" customWidth="1"/>
    <col min="12802" max="12803" width="14.44140625" style="20" customWidth="1"/>
    <col min="12804" max="12805" width="16.44140625" style="20" bestFit="1" customWidth="1"/>
    <col min="12806" max="12807" width="16.44140625" style="20" customWidth="1"/>
    <col min="12808" max="12808" width="29.109375" style="20" customWidth="1"/>
    <col min="12809" max="12809" width="33" style="20" customWidth="1"/>
    <col min="12810" max="12810" width="61.44140625" style="20" bestFit="1" customWidth="1"/>
    <col min="12811" max="13052" width="8.88671875" style="20"/>
    <col min="13053" max="13053" width="16" style="20" customWidth="1"/>
    <col min="13054" max="13054" width="12.44140625" style="20" customWidth="1"/>
    <col min="13055" max="13055" width="17.109375" style="20" customWidth="1"/>
    <col min="13056" max="13056" width="14.6640625" style="20" customWidth="1"/>
    <col min="13057" max="13057" width="22.88671875" style="20" customWidth="1"/>
    <col min="13058" max="13059" width="14.44140625" style="20" customWidth="1"/>
    <col min="13060" max="13061" width="16.44140625" style="20" bestFit="1" customWidth="1"/>
    <col min="13062" max="13063" width="16.44140625" style="20" customWidth="1"/>
    <col min="13064" max="13064" width="29.109375" style="20" customWidth="1"/>
    <col min="13065" max="13065" width="33" style="20" customWidth="1"/>
    <col min="13066" max="13066" width="61.44140625" style="20" bestFit="1" customWidth="1"/>
    <col min="13067" max="13308" width="8.88671875" style="20"/>
    <col min="13309" max="13309" width="16" style="20" customWidth="1"/>
    <col min="13310" max="13310" width="12.44140625" style="20" customWidth="1"/>
    <col min="13311" max="13311" width="17.109375" style="20" customWidth="1"/>
    <col min="13312" max="13312" width="14.6640625" style="20" customWidth="1"/>
    <col min="13313" max="13313" width="22.88671875" style="20" customWidth="1"/>
    <col min="13314" max="13315" width="14.44140625" style="20" customWidth="1"/>
    <col min="13316" max="13317" width="16.44140625" style="20" bestFit="1" customWidth="1"/>
    <col min="13318" max="13319" width="16.44140625" style="20" customWidth="1"/>
    <col min="13320" max="13320" width="29.109375" style="20" customWidth="1"/>
    <col min="13321" max="13321" width="33" style="20" customWidth="1"/>
    <col min="13322" max="13322" width="61.44140625" style="20" bestFit="1" customWidth="1"/>
    <col min="13323" max="13564" width="8.88671875" style="20"/>
    <col min="13565" max="13565" width="16" style="20" customWidth="1"/>
    <col min="13566" max="13566" width="12.44140625" style="20" customWidth="1"/>
    <col min="13567" max="13567" width="17.109375" style="20" customWidth="1"/>
    <col min="13568" max="13568" width="14.6640625" style="20" customWidth="1"/>
    <col min="13569" max="13569" width="22.88671875" style="20" customWidth="1"/>
    <col min="13570" max="13571" width="14.44140625" style="20" customWidth="1"/>
    <col min="13572" max="13573" width="16.44140625" style="20" bestFit="1" customWidth="1"/>
    <col min="13574" max="13575" width="16.44140625" style="20" customWidth="1"/>
    <col min="13576" max="13576" width="29.109375" style="20" customWidth="1"/>
    <col min="13577" max="13577" width="33" style="20" customWidth="1"/>
    <col min="13578" max="13578" width="61.44140625" style="20" bestFit="1" customWidth="1"/>
    <col min="13579" max="13820" width="8.88671875" style="20"/>
    <col min="13821" max="13821" width="16" style="20" customWidth="1"/>
    <col min="13822" max="13822" width="12.44140625" style="20" customWidth="1"/>
    <col min="13823" max="13823" width="17.109375" style="20" customWidth="1"/>
    <col min="13824" max="13824" width="14.6640625" style="20" customWidth="1"/>
    <col min="13825" max="13825" width="22.88671875" style="20" customWidth="1"/>
    <col min="13826" max="13827" width="14.44140625" style="20" customWidth="1"/>
    <col min="13828" max="13829" width="16.44140625" style="20" bestFit="1" customWidth="1"/>
    <col min="13830" max="13831" width="16.44140625" style="20" customWidth="1"/>
    <col min="13832" max="13832" width="29.109375" style="20" customWidth="1"/>
    <col min="13833" max="13833" width="33" style="20" customWidth="1"/>
    <col min="13834" max="13834" width="61.44140625" style="20" bestFit="1" customWidth="1"/>
    <col min="13835" max="14076" width="8.88671875" style="20"/>
    <col min="14077" max="14077" width="16" style="20" customWidth="1"/>
    <col min="14078" max="14078" width="12.44140625" style="20" customWidth="1"/>
    <col min="14079" max="14079" width="17.109375" style="20" customWidth="1"/>
    <col min="14080" max="14080" width="14.6640625" style="20" customWidth="1"/>
    <col min="14081" max="14081" width="22.88671875" style="20" customWidth="1"/>
    <col min="14082" max="14083" width="14.44140625" style="20" customWidth="1"/>
    <col min="14084" max="14085" width="16.44140625" style="20" bestFit="1" customWidth="1"/>
    <col min="14086" max="14087" width="16.44140625" style="20" customWidth="1"/>
    <col min="14088" max="14088" width="29.109375" style="20" customWidth="1"/>
    <col min="14089" max="14089" width="33" style="20" customWidth="1"/>
    <col min="14090" max="14090" width="61.44140625" style="20" bestFit="1" customWidth="1"/>
    <col min="14091" max="14332" width="8.88671875" style="20"/>
    <col min="14333" max="14333" width="16" style="20" customWidth="1"/>
    <col min="14334" max="14334" width="12.44140625" style="20" customWidth="1"/>
    <col min="14335" max="14335" width="17.109375" style="20" customWidth="1"/>
    <col min="14336" max="14336" width="14.6640625" style="20" customWidth="1"/>
    <col min="14337" max="14337" width="22.88671875" style="20" customWidth="1"/>
    <col min="14338" max="14339" width="14.44140625" style="20" customWidth="1"/>
    <col min="14340" max="14341" width="16.44140625" style="20" bestFit="1" customWidth="1"/>
    <col min="14342" max="14343" width="16.44140625" style="20" customWidth="1"/>
    <col min="14344" max="14344" width="29.109375" style="20" customWidth="1"/>
    <col min="14345" max="14345" width="33" style="20" customWidth="1"/>
    <col min="14346" max="14346" width="61.44140625" style="20" bestFit="1" customWidth="1"/>
    <col min="14347" max="14588" width="8.88671875" style="20"/>
    <col min="14589" max="14589" width="16" style="20" customWidth="1"/>
    <col min="14590" max="14590" width="12.44140625" style="20" customWidth="1"/>
    <col min="14591" max="14591" width="17.109375" style="20" customWidth="1"/>
    <col min="14592" max="14592" width="14.6640625" style="20" customWidth="1"/>
    <col min="14593" max="14593" width="22.88671875" style="20" customWidth="1"/>
    <col min="14594" max="14595" width="14.44140625" style="20" customWidth="1"/>
    <col min="14596" max="14597" width="16.44140625" style="20" bestFit="1" customWidth="1"/>
    <col min="14598" max="14599" width="16.44140625" style="20" customWidth="1"/>
    <col min="14600" max="14600" width="29.109375" style="20" customWidth="1"/>
    <col min="14601" max="14601" width="33" style="20" customWidth="1"/>
    <col min="14602" max="14602" width="61.44140625" style="20" bestFit="1" customWidth="1"/>
    <col min="14603" max="14844" width="8.88671875" style="20"/>
    <col min="14845" max="14845" width="16" style="20" customWidth="1"/>
    <col min="14846" max="14846" width="12.44140625" style="20" customWidth="1"/>
    <col min="14847" max="14847" width="17.109375" style="20" customWidth="1"/>
    <col min="14848" max="14848" width="14.6640625" style="20" customWidth="1"/>
    <col min="14849" max="14849" width="22.88671875" style="20" customWidth="1"/>
    <col min="14850" max="14851" width="14.44140625" style="20" customWidth="1"/>
    <col min="14852" max="14853" width="16.44140625" style="20" bestFit="1" customWidth="1"/>
    <col min="14854" max="14855" width="16.44140625" style="20" customWidth="1"/>
    <col min="14856" max="14856" width="29.109375" style="20" customWidth="1"/>
    <col min="14857" max="14857" width="33" style="20" customWidth="1"/>
    <col min="14858" max="14858" width="61.44140625" style="20" bestFit="1" customWidth="1"/>
    <col min="14859" max="15100" width="8.88671875" style="20"/>
    <col min="15101" max="15101" width="16" style="20" customWidth="1"/>
    <col min="15102" max="15102" width="12.44140625" style="20" customWidth="1"/>
    <col min="15103" max="15103" width="17.109375" style="20" customWidth="1"/>
    <col min="15104" max="15104" width="14.6640625" style="20" customWidth="1"/>
    <col min="15105" max="15105" width="22.88671875" style="20" customWidth="1"/>
    <col min="15106" max="15107" width="14.44140625" style="20" customWidth="1"/>
    <col min="15108" max="15109" width="16.44140625" style="20" bestFit="1" customWidth="1"/>
    <col min="15110" max="15111" width="16.44140625" style="20" customWidth="1"/>
    <col min="15112" max="15112" width="29.109375" style="20" customWidth="1"/>
    <col min="15113" max="15113" width="33" style="20" customWidth="1"/>
    <col min="15114" max="15114" width="61.44140625" style="20" bestFit="1" customWidth="1"/>
    <col min="15115" max="15356" width="8.88671875" style="20"/>
    <col min="15357" max="15357" width="16" style="20" customWidth="1"/>
    <col min="15358" max="15358" width="12.44140625" style="20" customWidth="1"/>
    <col min="15359" max="15359" width="17.109375" style="20" customWidth="1"/>
    <col min="15360" max="15360" width="14.6640625" style="20" customWidth="1"/>
    <col min="15361" max="15361" width="22.88671875" style="20" customWidth="1"/>
    <col min="15362" max="15363" width="14.44140625" style="20" customWidth="1"/>
    <col min="15364" max="15365" width="16.44140625" style="20" bestFit="1" customWidth="1"/>
    <col min="15366" max="15367" width="16.44140625" style="20" customWidth="1"/>
    <col min="15368" max="15368" width="29.109375" style="20" customWidth="1"/>
    <col min="15369" max="15369" width="33" style="20" customWidth="1"/>
    <col min="15370" max="15370" width="61.44140625" style="20" bestFit="1" customWidth="1"/>
    <col min="15371" max="15612" width="8.88671875" style="20"/>
    <col min="15613" max="15613" width="16" style="20" customWidth="1"/>
    <col min="15614" max="15614" width="12.44140625" style="20" customWidth="1"/>
    <col min="15615" max="15615" width="17.109375" style="20" customWidth="1"/>
    <col min="15616" max="15616" width="14.6640625" style="20" customWidth="1"/>
    <col min="15617" max="15617" width="22.88671875" style="20" customWidth="1"/>
    <col min="15618" max="15619" width="14.44140625" style="20" customWidth="1"/>
    <col min="15620" max="15621" width="16.44140625" style="20" bestFit="1" customWidth="1"/>
    <col min="15622" max="15623" width="16.44140625" style="20" customWidth="1"/>
    <col min="15624" max="15624" width="29.109375" style="20" customWidth="1"/>
    <col min="15625" max="15625" width="33" style="20" customWidth="1"/>
    <col min="15626" max="15626" width="61.44140625" style="20" bestFit="1" customWidth="1"/>
    <col min="15627" max="15868" width="8.88671875" style="20"/>
    <col min="15869" max="15869" width="16" style="20" customWidth="1"/>
    <col min="15870" max="15870" width="12.44140625" style="20" customWidth="1"/>
    <col min="15871" max="15871" width="17.109375" style="20" customWidth="1"/>
    <col min="15872" max="15872" width="14.6640625" style="20" customWidth="1"/>
    <col min="15873" max="15873" width="22.88671875" style="20" customWidth="1"/>
    <col min="15874" max="15875" width="14.44140625" style="20" customWidth="1"/>
    <col min="15876" max="15877" width="16.44140625" style="20" bestFit="1" customWidth="1"/>
    <col min="15878" max="15879" width="16.44140625" style="20" customWidth="1"/>
    <col min="15880" max="15880" width="29.109375" style="20" customWidth="1"/>
    <col min="15881" max="15881" width="33" style="20" customWidth="1"/>
    <col min="15882" max="15882" width="61.44140625" style="20" bestFit="1" customWidth="1"/>
    <col min="15883" max="16124" width="8.88671875" style="20"/>
    <col min="16125" max="16125" width="16" style="20" customWidth="1"/>
    <col min="16126" max="16126" width="12.44140625" style="20" customWidth="1"/>
    <col min="16127" max="16127" width="17.109375" style="20" customWidth="1"/>
    <col min="16128" max="16128" width="14.6640625" style="20" customWidth="1"/>
    <col min="16129" max="16129" width="22.88671875" style="20" customWidth="1"/>
    <col min="16130" max="16131" width="14.44140625" style="20" customWidth="1"/>
    <col min="16132" max="16133" width="16.44140625" style="20" bestFit="1" customWidth="1"/>
    <col min="16134" max="16135" width="16.44140625" style="20" customWidth="1"/>
    <col min="16136" max="16136" width="29.109375" style="20" customWidth="1"/>
    <col min="16137" max="16137" width="33" style="20" customWidth="1"/>
    <col min="16138" max="16138" width="61.44140625" style="20" bestFit="1" customWidth="1"/>
    <col min="16139" max="16384" width="8.88671875" style="20"/>
  </cols>
  <sheetData>
    <row r="1" spans="1:10" ht="14.4">
      <c r="I1" s="75" t="s">
        <v>131</v>
      </c>
    </row>
    <row r="3" spans="1:10" ht="31.2">
      <c r="G3" s="71" t="s">
        <v>128</v>
      </c>
    </row>
    <row r="4" spans="1:10" ht="27.6">
      <c r="E4" s="17" t="s">
        <v>221</v>
      </c>
    </row>
    <row r="5" spans="1:10">
      <c r="E5" s="147"/>
    </row>
    <row r="6" spans="1:10">
      <c r="E6" s="147" t="s">
        <v>220</v>
      </c>
    </row>
    <row r="7" spans="1:10" s="144" customFormat="1" ht="14.4" thickBot="1">
      <c r="A7" s="141"/>
      <c r="B7" s="142" t="s">
        <v>222</v>
      </c>
      <c r="C7" s="143"/>
      <c r="D7" s="142" t="s">
        <v>219</v>
      </c>
      <c r="E7" s="142"/>
      <c r="F7" s="142"/>
      <c r="G7" s="42" t="s">
        <v>279</v>
      </c>
      <c r="H7" s="42" t="s">
        <v>280</v>
      </c>
      <c r="I7" s="148" t="s">
        <v>223</v>
      </c>
      <c r="J7" s="144" t="s">
        <v>224</v>
      </c>
    </row>
    <row r="8" spans="1:10" s="23" customFormat="1" ht="12.75" customHeight="1">
      <c r="A8" s="222" t="s">
        <v>78</v>
      </c>
      <c r="B8" s="224" t="s">
        <v>129</v>
      </c>
      <c r="C8" s="229" t="s">
        <v>130</v>
      </c>
      <c r="D8" s="224" t="s">
        <v>124</v>
      </c>
      <c r="E8" s="224" t="s">
        <v>80</v>
      </c>
      <c r="F8" s="224" t="s">
        <v>7</v>
      </c>
      <c r="G8" s="232" t="s">
        <v>278</v>
      </c>
      <c r="H8" s="232" t="s">
        <v>281</v>
      </c>
      <c r="I8" s="232" t="s">
        <v>17</v>
      </c>
    </row>
    <row r="9" spans="1:10" s="23" customFormat="1">
      <c r="A9" s="235"/>
      <c r="B9" s="236"/>
      <c r="C9" s="237"/>
      <c r="D9" s="236"/>
      <c r="E9" s="236"/>
      <c r="F9" s="236"/>
      <c r="G9" s="233"/>
      <c r="H9" s="234"/>
      <c r="I9" s="234"/>
    </row>
    <row r="10" spans="1:10" s="46" customFormat="1" ht="33" customHeight="1">
      <c r="A10" s="24"/>
      <c r="B10" s="25"/>
      <c r="C10" s="28"/>
      <c r="D10" s="25"/>
      <c r="E10" s="27" t="s">
        <v>87</v>
      </c>
      <c r="F10" s="26"/>
      <c r="G10" s="44"/>
      <c r="H10" s="44"/>
      <c r="I10" s="44"/>
      <c r="J10" s="29"/>
    </row>
    <row r="11" spans="1:10" s="46" customFormat="1" ht="33" customHeight="1">
      <c r="A11" s="50"/>
      <c r="B11" s="30"/>
      <c r="C11" s="33"/>
      <c r="D11" s="30"/>
      <c r="E11" s="32" t="s">
        <v>89</v>
      </c>
      <c r="F11" s="31"/>
      <c r="G11" s="47"/>
      <c r="H11" s="47"/>
      <c r="I11" s="47"/>
      <c r="J11" s="29"/>
    </row>
    <row r="12" spans="1:10" s="46" customFormat="1" ht="33" customHeight="1">
      <c r="A12" s="50"/>
      <c r="B12" s="30"/>
      <c r="C12" s="33"/>
      <c r="D12" s="30"/>
      <c r="E12" s="32" t="s">
        <v>91</v>
      </c>
      <c r="F12" s="31"/>
      <c r="G12" s="47"/>
      <c r="H12" s="47"/>
      <c r="I12" s="47"/>
      <c r="J12" s="29"/>
    </row>
    <row r="13" spans="1:10" s="46" customFormat="1" ht="33" customHeight="1">
      <c r="A13" s="72" t="s">
        <v>107</v>
      </c>
      <c r="B13" s="72"/>
      <c r="C13" s="72"/>
      <c r="D13" s="72"/>
      <c r="E13" s="72"/>
      <c r="F13" s="72"/>
      <c r="G13" s="69"/>
      <c r="H13" s="69"/>
      <c r="I13" s="69"/>
      <c r="J13" s="29"/>
    </row>
    <row r="14" spans="1:10" s="46" customFormat="1" ht="33" customHeight="1">
      <c r="A14" s="37"/>
      <c r="B14" s="37"/>
      <c r="C14" s="37"/>
      <c r="D14" s="37"/>
      <c r="E14" s="37"/>
      <c r="F14" s="37"/>
      <c r="G14" s="64"/>
      <c r="H14" s="64"/>
      <c r="I14" s="64"/>
      <c r="J14" s="29"/>
    </row>
  </sheetData>
  <mergeCells count="9">
    <mergeCell ref="G8:G9"/>
    <mergeCell ref="H8:H9"/>
    <mergeCell ref="I8:I9"/>
    <mergeCell ref="A8:A9"/>
    <mergeCell ref="B8:B9"/>
    <mergeCell ref="C8:C9"/>
    <mergeCell ref="D8:D9"/>
    <mergeCell ref="E8:E9"/>
    <mergeCell ref="F8:F9"/>
  </mergeCells>
  <hyperlinks>
    <hyperlink ref="I1" location="'List of reports'!A1" display="Trở về" xr:uid="{00000000-0004-0000-0400-000000000000}"/>
  </hyperlinks>
  <pageMargins left="0.28000000000000003" right="0.17" top="0.42" bottom="0.23" header="0.3" footer="0.17"/>
  <pageSetup scale="8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zoomScale="85" zoomScaleNormal="85" workbookViewId="0">
      <selection activeCell="J12" sqref="J12"/>
    </sheetView>
  </sheetViews>
  <sheetFormatPr defaultColWidth="8.88671875" defaultRowHeight="13.8"/>
  <cols>
    <col min="1" max="1" width="16" style="16" customWidth="1"/>
    <col min="2" max="2" width="12.44140625" style="17" customWidth="1"/>
    <col min="3" max="3" width="16.109375" style="21" customWidth="1"/>
    <col min="4" max="4" width="12.44140625" style="17" customWidth="1"/>
    <col min="5" max="5" width="14.6640625" style="17" customWidth="1"/>
    <col min="6" max="6" width="17.109375" style="17" customWidth="1"/>
    <col min="7" max="7" width="14.44140625" style="18" customWidth="1"/>
    <col min="8" max="8" width="16.44140625" style="18" bestFit="1" customWidth="1"/>
    <col min="9" max="9" width="16.44140625" style="18" customWidth="1"/>
    <col min="10" max="10" width="61.44140625" style="20" bestFit="1" customWidth="1"/>
    <col min="11" max="252" width="8.88671875" style="20"/>
    <col min="253" max="253" width="16" style="20" customWidth="1"/>
    <col min="254" max="254" width="12.44140625" style="20" customWidth="1"/>
    <col min="255" max="255" width="17.109375" style="20" customWidth="1"/>
    <col min="256" max="256" width="14.6640625" style="20" customWidth="1"/>
    <col min="257" max="257" width="22.88671875" style="20" customWidth="1"/>
    <col min="258" max="259" width="14.44140625" style="20" customWidth="1"/>
    <col min="260" max="261" width="16.44140625" style="20" bestFit="1" customWidth="1"/>
    <col min="262" max="263" width="16.44140625" style="20" customWidth="1"/>
    <col min="264" max="264" width="29.109375" style="20" customWidth="1"/>
    <col min="265" max="265" width="33" style="20" customWidth="1"/>
    <col min="266" max="266" width="61.44140625" style="20" bestFit="1" customWidth="1"/>
    <col min="267" max="508" width="8.88671875" style="20"/>
    <col min="509" max="509" width="16" style="20" customWidth="1"/>
    <col min="510" max="510" width="12.44140625" style="20" customWidth="1"/>
    <col min="511" max="511" width="17.109375" style="20" customWidth="1"/>
    <col min="512" max="512" width="14.6640625" style="20" customWidth="1"/>
    <col min="513" max="513" width="22.88671875" style="20" customWidth="1"/>
    <col min="514" max="515" width="14.44140625" style="20" customWidth="1"/>
    <col min="516" max="517" width="16.44140625" style="20" bestFit="1" customWidth="1"/>
    <col min="518" max="519" width="16.44140625" style="20" customWidth="1"/>
    <col min="520" max="520" width="29.109375" style="20" customWidth="1"/>
    <col min="521" max="521" width="33" style="20" customWidth="1"/>
    <col min="522" max="522" width="61.44140625" style="20" bestFit="1" customWidth="1"/>
    <col min="523" max="764" width="8.88671875" style="20"/>
    <col min="765" max="765" width="16" style="20" customWidth="1"/>
    <col min="766" max="766" width="12.44140625" style="20" customWidth="1"/>
    <col min="767" max="767" width="17.109375" style="20" customWidth="1"/>
    <col min="768" max="768" width="14.6640625" style="20" customWidth="1"/>
    <col min="769" max="769" width="22.88671875" style="20" customWidth="1"/>
    <col min="770" max="771" width="14.44140625" style="20" customWidth="1"/>
    <col min="772" max="773" width="16.44140625" style="20" bestFit="1" customWidth="1"/>
    <col min="774" max="775" width="16.44140625" style="20" customWidth="1"/>
    <col min="776" max="776" width="29.109375" style="20" customWidth="1"/>
    <col min="777" max="777" width="33" style="20" customWidth="1"/>
    <col min="778" max="778" width="61.44140625" style="20" bestFit="1" customWidth="1"/>
    <col min="779" max="1020" width="8.88671875" style="20"/>
    <col min="1021" max="1021" width="16" style="20" customWidth="1"/>
    <col min="1022" max="1022" width="12.44140625" style="20" customWidth="1"/>
    <col min="1023" max="1023" width="17.109375" style="20" customWidth="1"/>
    <col min="1024" max="1024" width="14.6640625" style="20" customWidth="1"/>
    <col min="1025" max="1025" width="22.88671875" style="20" customWidth="1"/>
    <col min="1026" max="1027" width="14.44140625" style="20" customWidth="1"/>
    <col min="1028" max="1029" width="16.44140625" style="20" bestFit="1" customWidth="1"/>
    <col min="1030" max="1031" width="16.44140625" style="20" customWidth="1"/>
    <col min="1032" max="1032" width="29.109375" style="20" customWidth="1"/>
    <col min="1033" max="1033" width="33" style="20" customWidth="1"/>
    <col min="1034" max="1034" width="61.44140625" style="20" bestFit="1" customWidth="1"/>
    <col min="1035" max="1276" width="8.88671875" style="20"/>
    <col min="1277" max="1277" width="16" style="20" customWidth="1"/>
    <col min="1278" max="1278" width="12.44140625" style="20" customWidth="1"/>
    <col min="1279" max="1279" width="17.109375" style="20" customWidth="1"/>
    <col min="1280" max="1280" width="14.6640625" style="20" customWidth="1"/>
    <col min="1281" max="1281" width="22.88671875" style="20" customWidth="1"/>
    <col min="1282" max="1283" width="14.44140625" style="20" customWidth="1"/>
    <col min="1284" max="1285" width="16.44140625" style="20" bestFit="1" customWidth="1"/>
    <col min="1286" max="1287" width="16.44140625" style="20" customWidth="1"/>
    <col min="1288" max="1288" width="29.109375" style="20" customWidth="1"/>
    <col min="1289" max="1289" width="33" style="20" customWidth="1"/>
    <col min="1290" max="1290" width="61.44140625" style="20" bestFit="1" customWidth="1"/>
    <col min="1291" max="1532" width="8.88671875" style="20"/>
    <col min="1533" max="1533" width="16" style="20" customWidth="1"/>
    <col min="1534" max="1534" width="12.44140625" style="20" customWidth="1"/>
    <col min="1535" max="1535" width="17.109375" style="20" customWidth="1"/>
    <col min="1536" max="1536" width="14.6640625" style="20" customWidth="1"/>
    <col min="1537" max="1537" width="22.88671875" style="20" customWidth="1"/>
    <col min="1538" max="1539" width="14.44140625" style="20" customWidth="1"/>
    <col min="1540" max="1541" width="16.44140625" style="20" bestFit="1" customWidth="1"/>
    <col min="1542" max="1543" width="16.44140625" style="20" customWidth="1"/>
    <col min="1544" max="1544" width="29.109375" style="20" customWidth="1"/>
    <col min="1545" max="1545" width="33" style="20" customWidth="1"/>
    <col min="1546" max="1546" width="61.44140625" style="20" bestFit="1" customWidth="1"/>
    <col min="1547" max="1788" width="8.88671875" style="20"/>
    <col min="1789" max="1789" width="16" style="20" customWidth="1"/>
    <col min="1790" max="1790" width="12.44140625" style="20" customWidth="1"/>
    <col min="1791" max="1791" width="17.109375" style="20" customWidth="1"/>
    <col min="1792" max="1792" width="14.6640625" style="20" customWidth="1"/>
    <col min="1793" max="1793" width="22.88671875" style="20" customWidth="1"/>
    <col min="1794" max="1795" width="14.44140625" style="20" customWidth="1"/>
    <col min="1796" max="1797" width="16.44140625" style="20" bestFit="1" customWidth="1"/>
    <col min="1798" max="1799" width="16.44140625" style="20" customWidth="1"/>
    <col min="1800" max="1800" width="29.109375" style="20" customWidth="1"/>
    <col min="1801" max="1801" width="33" style="20" customWidth="1"/>
    <col min="1802" max="1802" width="61.44140625" style="20" bestFit="1" customWidth="1"/>
    <col min="1803" max="2044" width="8.88671875" style="20"/>
    <col min="2045" max="2045" width="16" style="20" customWidth="1"/>
    <col min="2046" max="2046" width="12.44140625" style="20" customWidth="1"/>
    <col min="2047" max="2047" width="17.109375" style="20" customWidth="1"/>
    <col min="2048" max="2048" width="14.6640625" style="20" customWidth="1"/>
    <col min="2049" max="2049" width="22.88671875" style="20" customWidth="1"/>
    <col min="2050" max="2051" width="14.44140625" style="20" customWidth="1"/>
    <col min="2052" max="2053" width="16.44140625" style="20" bestFit="1" customWidth="1"/>
    <col min="2054" max="2055" width="16.44140625" style="20" customWidth="1"/>
    <col min="2056" max="2056" width="29.109375" style="20" customWidth="1"/>
    <col min="2057" max="2057" width="33" style="20" customWidth="1"/>
    <col min="2058" max="2058" width="61.44140625" style="20" bestFit="1" customWidth="1"/>
    <col min="2059" max="2300" width="8.88671875" style="20"/>
    <col min="2301" max="2301" width="16" style="20" customWidth="1"/>
    <col min="2302" max="2302" width="12.44140625" style="20" customWidth="1"/>
    <col min="2303" max="2303" width="17.109375" style="20" customWidth="1"/>
    <col min="2304" max="2304" width="14.6640625" style="20" customWidth="1"/>
    <col min="2305" max="2305" width="22.88671875" style="20" customWidth="1"/>
    <col min="2306" max="2307" width="14.44140625" style="20" customWidth="1"/>
    <col min="2308" max="2309" width="16.44140625" style="20" bestFit="1" customWidth="1"/>
    <col min="2310" max="2311" width="16.44140625" style="20" customWidth="1"/>
    <col min="2312" max="2312" width="29.109375" style="20" customWidth="1"/>
    <col min="2313" max="2313" width="33" style="20" customWidth="1"/>
    <col min="2314" max="2314" width="61.44140625" style="20" bestFit="1" customWidth="1"/>
    <col min="2315" max="2556" width="8.88671875" style="20"/>
    <col min="2557" max="2557" width="16" style="20" customWidth="1"/>
    <col min="2558" max="2558" width="12.44140625" style="20" customWidth="1"/>
    <col min="2559" max="2559" width="17.109375" style="20" customWidth="1"/>
    <col min="2560" max="2560" width="14.6640625" style="20" customWidth="1"/>
    <col min="2561" max="2561" width="22.88671875" style="20" customWidth="1"/>
    <col min="2562" max="2563" width="14.44140625" style="20" customWidth="1"/>
    <col min="2564" max="2565" width="16.44140625" style="20" bestFit="1" customWidth="1"/>
    <col min="2566" max="2567" width="16.44140625" style="20" customWidth="1"/>
    <col min="2568" max="2568" width="29.109375" style="20" customWidth="1"/>
    <col min="2569" max="2569" width="33" style="20" customWidth="1"/>
    <col min="2570" max="2570" width="61.44140625" style="20" bestFit="1" customWidth="1"/>
    <col min="2571" max="2812" width="8.88671875" style="20"/>
    <col min="2813" max="2813" width="16" style="20" customWidth="1"/>
    <col min="2814" max="2814" width="12.44140625" style="20" customWidth="1"/>
    <col min="2815" max="2815" width="17.109375" style="20" customWidth="1"/>
    <col min="2816" max="2816" width="14.6640625" style="20" customWidth="1"/>
    <col min="2817" max="2817" width="22.88671875" style="20" customWidth="1"/>
    <col min="2818" max="2819" width="14.44140625" style="20" customWidth="1"/>
    <col min="2820" max="2821" width="16.44140625" style="20" bestFit="1" customWidth="1"/>
    <col min="2822" max="2823" width="16.44140625" style="20" customWidth="1"/>
    <col min="2824" max="2824" width="29.109375" style="20" customWidth="1"/>
    <col min="2825" max="2825" width="33" style="20" customWidth="1"/>
    <col min="2826" max="2826" width="61.44140625" style="20" bestFit="1" customWidth="1"/>
    <col min="2827" max="3068" width="8.88671875" style="20"/>
    <col min="3069" max="3069" width="16" style="20" customWidth="1"/>
    <col min="3070" max="3070" width="12.44140625" style="20" customWidth="1"/>
    <col min="3071" max="3071" width="17.109375" style="20" customWidth="1"/>
    <col min="3072" max="3072" width="14.6640625" style="20" customWidth="1"/>
    <col min="3073" max="3073" width="22.88671875" style="20" customWidth="1"/>
    <col min="3074" max="3075" width="14.44140625" style="20" customWidth="1"/>
    <col min="3076" max="3077" width="16.44140625" style="20" bestFit="1" customWidth="1"/>
    <col min="3078" max="3079" width="16.44140625" style="20" customWidth="1"/>
    <col min="3080" max="3080" width="29.109375" style="20" customWidth="1"/>
    <col min="3081" max="3081" width="33" style="20" customWidth="1"/>
    <col min="3082" max="3082" width="61.44140625" style="20" bestFit="1" customWidth="1"/>
    <col min="3083" max="3324" width="8.88671875" style="20"/>
    <col min="3325" max="3325" width="16" style="20" customWidth="1"/>
    <col min="3326" max="3326" width="12.44140625" style="20" customWidth="1"/>
    <col min="3327" max="3327" width="17.109375" style="20" customWidth="1"/>
    <col min="3328" max="3328" width="14.6640625" style="20" customWidth="1"/>
    <col min="3329" max="3329" width="22.88671875" style="20" customWidth="1"/>
    <col min="3330" max="3331" width="14.44140625" style="20" customWidth="1"/>
    <col min="3332" max="3333" width="16.44140625" style="20" bestFit="1" customWidth="1"/>
    <col min="3334" max="3335" width="16.44140625" style="20" customWidth="1"/>
    <col min="3336" max="3336" width="29.109375" style="20" customWidth="1"/>
    <col min="3337" max="3337" width="33" style="20" customWidth="1"/>
    <col min="3338" max="3338" width="61.44140625" style="20" bestFit="1" customWidth="1"/>
    <col min="3339" max="3580" width="8.88671875" style="20"/>
    <col min="3581" max="3581" width="16" style="20" customWidth="1"/>
    <col min="3582" max="3582" width="12.44140625" style="20" customWidth="1"/>
    <col min="3583" max="3583" width="17.109375" style="20" customWidth="1"/>
    <col min="3584" max="3584" width="14.6640625" style="20" customWidth="1"/>
    <col min="3585" max="3585" width="22.88671875" style="20" customWidth="1"/>
    <col min="3586" max="3587" width="14.44140625" style="20" customWidth="1"/>
    <col min="3588" max="3589" width="16.44140625" style="20" bestFit="1" customWidth="1"/>
    <col min="3590" max="3591" width="16.44140625" style="20" customWidth="1"/>
    <col min="3592" max="3592" width="29.109375" style="20" customWidth="1"/>
    <col min="3593" max="3593" width="33" style="20" customWidth="1"/>
    <col min="3594" max="3594" width="61.44140625" style="20" bestFit="1" customWidth="1"/>
    <col min="3595" max="3836" width="8.88671875" style="20"/>
    <col min="3837" max="3837" width="16" style="20" customWidth="1"/>
    <col min="3838" max="3838" width="12.44140625" style="20" customWidth="1"/>
    <col min="3839" max="3839" width="17.109375" style="20" customWidth="1"/>
    <col min="3840" max="3840" width="14.6640625" style="20" customWidth="1"/>
    <col min="3841" max="3841" width="22.88671875" style="20" customWidth="1"/>
    <col min="3842" max="3843" width="14.44140625" style="20" customWidth="1"/>
    <col min="3844" max="3845" width="16.44140625" style="20" bestFit="1" customWidth="1"/>
    <col min="3846" max="3847" width="16.44140625" style="20" customWidth="1"/>
    <col min="3848" max="3848" width="29.109375" style="20" customWidth="1"/>
    <col min="3849" max="3849" width="33" style="20" customWidth="1"/>
    <col min="3850" max="3850" width="61.44140625" style="20" bestFit="1" customWidth="1"/>
    <col min="3851" max="4092" width="8.88671875" style="20"/>
    <col min="4093" max="4093" width="16" style="20" customWidth="1"/>
    <col min="4094" max="4094" width="12.44140625" style="20" customWidth="1"/>
    <col min="4095" max="4095" width="17.109375" style="20" customWidth="1"/>
    <col min="4096" max="4096" width="14.6640625" style="20" customWidth="1"/>
    <col min="4097" max="4097" width="22.88671875" style="20" customWidth="1"/>
    <col min="4098" max="4099" width="14.44140625" style="20" customWidth="1"/>
    <col min="4100" max="4101" width="16.44140625" style="20" bestFit="1" customWidth="1"/>
    <col min="4102" max="4103" width="16.44140625" style="20" customWidth="1"/>
    <col min="4104" max="4104" width="29.109375" style="20" customWidth="1"/>
    <col min="4105" max="4105" width="33" style="20" customWidth="1"/>
    <col min="4106" max="4106" width="61.44140625" style="20" bestFit="1" customWidth="1"/>
    <col min="4107" max="4348" width="8.88671875" style="20"/>
    <col min="4349" max="4349" width="16" style="20" customWidth="1"/>
    <col min="4350" max="4350" width="12.44140625" style="20" customWidth="1"/>
    <col min="4351" max="4351" width="17.109375" style="20" customWidth="1"/>
    <col min="4352" max="4352" width="14.6640625" style="20" customWidth="1"/>
    <col min="4353" max="4353" width="22.88671875" style="20" customWidth="1"/>
    <col min="4354" max="4355" width="14.44140625" style="20" customWidth="1"/>
    <col min="4356" max="4357" width="16.44140625" style="20" bestFit="1" customWidth="1"/>
    <col min="4358" max="4359" width="16.44140625" style="20" customWidth="1"/>
    <col min="4360" max="4360" width="29.109375" style="20" customWidth="1"/>
    <col min="4361" max="4361" width="33" style="20" customWidth="1"/>
    <col min="4362" max="4362" width="61.44140625" style="20" bestFit="1" customWidth="1"/>
    <col min="4363" max="4604" width="8.88671875" style="20"/>
    <col min="4605" max="4605" width="16" style="20" customWidth="1"/>
    <col min="4606" max="4606" width="12.44140625" style="20" customWidth="1"/>
    <col min="4607" max="4607" width="17.109375" style="20" customWidth="1"/>
    <col min="4608" max="4608" width="14.6640625" style="20" customWidth="1"/>
    <col min="4609" max="4609" width="22.88671875" style="20" customWidth="1"/>
    <col min="4610" max="4611" width="14.44140625" style="20" customWidth="1"/>
    <col min="4612" max="4613" width="16.44140625" style="20" bestFit="1" customWidth="1"/>
    <col min="4614" max="4615" width="16.44140625" style="20" customWidth="1"/>
    <col min="4616" max="4616" width="29.109375" style="20" customWidth="1"/>
    <col min="4617" max="4617" width="33" style="20" customWidth="1"/>
    <col min="4618" max="4618" width="61.44140625" style="20" bestFit="1" customWidth="1"/>
    <col min="4619" max="4860" width="8.88671875" style="20"/>
    <col min="4861" max="4861" width="16" style="20" customWidth="1"/>
    <col min="4862" max="4862" width="12.44140625" style="20" customWidth="1"/>
    <col min="4863" max="4863" width="17.109375" style="20" customWidth="1"/>
    <col min="4864" max="4864" width="14.6640625" style="20" customWidth="1"/>
    <col min="4865" max="4865" width="22.88671875" style="20" customWidth="1"/>
    <col min="4866" max="4867" width="14.44140625" style="20" customWidth="1"/>
    <col min="4868" max="4869" width="16.44140625" style="20" bestFit="1" customWidth="1"/>
    <col min="4870" max="4871" width="16.44140625" style="20" customWidth="1"/>
    <col min="4872" max="4872" width="29.109375" style="20" customWidth="1"/>
    <col min="4873" max="4873" width="33" style="20" customWidth="1"/>
    <col min="4874" max="4874" width="61.44140625" style="20" bestFit="1" customWidth="1"/>
    <col min="4875" max="5116" width="8.88671875" style="20"/>
    <col min="5117" max="5117" width="16" style="20" customWidth="1"/>
    <col min="5118" max="5118" width="12.44140625" style="20" customWidth="1"/>
    <col min="5119" max="5119" width="17.109375" style="20" customWidth="1"/>
    <col min="5120" max="5120" width="14.6640625" style="20" customWidth="1"/>
    <col min="5121" max="5121" width="22.88671875" style="20" customWidth="1"/>
    <col min="5122" max="5123" width="14.44140625" style="20" customWidth="1"/>
    <col min="5124" max="5125" width="16.44140625" style="20" bestFit="1" customWidth="1"/>
    <col min="5126" max="5127" width="16.44140625" style="20" customWidth="1"/>
    <col min="5128" max="5128" width="29.109375" style="20" customWidth="1"/>
    <col min="5129" max="5129" width="33" style="20" customWidth="1"/>
    <col min="5130" max="5130" width="61.44140625" style="20" bestFit="1" customWidth="1"/>
    <col min="5131" max="5372" width="8.88671875" style="20"/>
    <col min="5373" max="5373" width="16" style="20" customWidth="1"/>
    <col min="5374" max="5374" width="12.44140625" style="20" customWidth="1"/>
    <col min="5375" max="5375" width="17.109375" style="20" customWidth="1"/>
    <col min="5376" max="5376" width="14.6640625" style="20" customWidth="1"/>
    <col min="5377" max="5377" width="22.88671875" style="20" customWidth="1"/>
    <col min="5378" max="5379" width="14.44140625" style="20" customWidth="1"/>
    <col min="5380" max="5381" width="16.44140625" style="20" bestFit="1" customWidth="1"/>
    <col min="5382" max="5383" width="16.44140625" style="20" customWidth="1"/>
    <col min="5384" max="5384" width="29.109375" style="20" customWidth="1"/>
    <col min="5385" max="5385" width="33" style="20" customWidth="1"/>
    <col min="5386" max="5386" width="61.44140625" style="20" bestFit="1" customWidth="1"/>
    <col min="5387" max="5628" width="8.88671875" style="20"/>
    <col min="5629" max="5629" width="16" style="20" customWidth="1"/>
    <col min="5630" max="5630" width="12.44140625" style="20" customWidth="1"/>
    <col min="5631" max="5631" width="17.109375" style="20" customWidth="1"/>
    <col min="5632" max="5632" width="14.6640625" style="20" customWidth="1"/>
    <col min="5633" max="5633" width="22.88671875" style="20" customWidth="1"/>
    <col min="5634" max="5635" width="14.44140625" style="20" customWidth="1"/>
    <col min="5636" max="5637" width="16.44140625" style="20" bestFit="1" customWidth="1"/>
    <col min="5638" max="5639" width="16.44140625" style="20" customWidth="1"/>
    <col min="5640" max="5640" width="29.109375" style="20" customWidth="1"/>
    <col min="5641" max="5641" width="33" style="20" customWidth="1"/>
    <col min="5642" max="5642" width="61.44140625" style="20" bestFit="1" customWidth="1"/>
    <col min="5643" max="5884" width="8.88671875" style="20"/>
    <col min="5885" max="5885" width="16" style="20" customWidth="1"/>
    <col min="5886" max="5886" width="12.44140625" style="20" customWidth="1"/>
    <col min="5887" max="5887" width="17.109375" style="20" customWidth="1"/>
    <col min="5888" max="5888" width="14.6640625" style="20" customWidth="1"/>
    <col min="5889" max="5889" width="22.88671875" style="20" customWidth="1"/>
    <col min="5890" max="5891" width="14.44140625" style="20" customWidth="1"/>
    <col min="5892" max="5893" width="16.44140625" style="20" bestFit="1" customWidth="1"/>
    <col min="5894" max="5895" width="16.44140625" style="20" customWidth="1"/>
    <col min="5896" max="5896" width="29.109375" style="20" customWidth="1"/>
    <col min="5897" max="5897" width="33" style="20" customWidth="1"/>
    <col min="5898" max="5898" width="61.44140625" style="20" bestFit="1" customWidth="1"/>
    <col min="5899" max="6140" width="8.88671875" style="20"/>
    <col min="6141" max="6141" width="16" style="20" customWidth="1"/>
    <col min="6142" max="6142" width="12.44140625" style="20" customWidth="1"/>
    <col min="6143" max="6143" width="17.109375" style="20" customWidth="1"/>
    <col min="6144" max="6144" width="14.6640625" style="20" customWidth="1"/>
    <col min="6145" max="6145" width="22.88671875" style="20" customWidth="1"/>
    <col min="6146" max="6147" width="14.44140625" style="20" customWidth="1"/>
    <col min="6148" max="6149" width="16.44140625" style="20" bestFit="1" customWidth="1"/>
    <col min="6150" max="6151" width="16.44140625" style="20" customWidth="1"/>
    <col min="6152" max="6152" width="29.109375" style="20" customWidth="1"/>
    <col min="6153" max="6153" width="33" style="20" customWidth="1"/>
    <col min="6154" max="6154" width="61.44140625" style="20" bestFit="1" customWidth="1"/>
    <col min="6155" max="6396" width="8.88671875" style="20"/>
    <col min="6397" max="6397" width="16" style="20" customWidth="1"/>
    <col min="6398" max="6398" width="12.44140625" style="20" customWidth="1"/>
    <col min="6399" max="6399" width="17.109375" style="20" customWidth="1"/>
    <col min="6400" max="6400" width="14.6640625" style="20" customWidth="1"/>
    <col min="6401" max="6401" width="22.88671875" style="20" customWidth="1"/>
    <col min="6402" max="6403" width="14.44140625" style="20" customWidth="1"/>
    <col min="6404" max="6405" width="16.44140625" style="20" bestFit="1" customWidth="1"/>
    <col min="6406" max="6407" width="16.44140625" style="20" customWidth="1"/>
    <col min="6408" max="6408" width="29.109375" style="20" customWidth="1"/>
    <col min="6409" max="6409" width="33" style="20" customWidth="1"/>
    <col min="6410" max="6410" width="61.44140625" style="20" bestFit="1" customWidth="1"/>
    <col min="6411" max="6652" width="8.88671875" style="20"/>
    <col min="6653" max="6653" width="16" style="20" customWidth="1"/>
    <col min="6654" max="6654" width="12.44140625" style="20" customWidth="1"/>
    <col min="6655" max="6655" width="17.109375" style="20" customWidth="1"/>
    <col min="6656" max="6656" width="14.6640625" style="20" customWidth="1"/>
    <col min="6657" max="6657" width="22.88671875" style="20" customWidth="1"/>
    <col min="6658" max="6659" width="14.44140625" style="20" customWidth="1"/>
    <col min="6660" max="6661" width="16.44140625" style="20" bestFit="1" customWidth="1"/>
    <col min="6662" max="6663" width="16.44140625" style="20" customWidth="1"/>
    <col min="6664" max="6664" width="29.109375" style="20" customWidth="1"/>
    <col min="6665" max="6665" width="33" style="20" customWidth="1"/>
    <col min="6666" max="6666" width="61.44140625" style="20" bestFit="1" customWidth="1"/>
    <col min="6667" max="6908" width="8.88671875" style="20"/>
    <col min="6909" max="6909" width="16" style="20" customWidth="1"/>
    <col min="6910" max="6910" width="12.44140625" style="20" customWidth="1"/>
    <col min="6911" max="6911" width="17.109375" style="20" customWidth="1"/>
    <col min="6912" max="6912" width="14.6640625" style="20" customWidth="1"/>
    <col min="6913" max="6913" width="22.88671875" style="20" customWidth="1"/>
    <col min="6914" max="6915" width="14.44140625" style="20" customWidth="1"/>
    <col min="6916" max="6917" width="16.44140625" style="20" bestFit="1" customWidth="1"/>
    <col min="6918" max="6919" width="16.44140625" style="20" customWidth="1"/>
    <col min="6920" max="6920" width="29.109375" style="20" customWidth="1"/>
    <col min="6921" max="6921" width="33" style="20" customWidth="1"/>
    <col min="6922" max="6922" width="61.44140625" style="20" bestFit="1" customWidth="1"/>
    <col min="6923" max="7164" width="8.88671875" style="20"/>
    <col min="7165" max="7165" width="16" style="20" customWidth="1"/>
    <col min="7166" max="7166" width="12.44140625" style="20" customWidth="1"/>
    <col min="7167" max="7167" width="17.109375" style="20" customWidth="1"/>
    <col min="7168" max="7168" width="14.6640625" style="20" customWidth="1"/>
    <col min="7169" max="7169" width="22.88671875" style="20" customWidth="1"/>
    <col min="7170" max="7171" width="14.44140625" style="20" customWidth="1"/>
    <col min="7172" max="7173" width="16.44140625" style="20" bestFit="1" customWidth="1"/>
    <col min="7174" max="7175" width="16.44140625" style="20" customWidth="1"/>
    <col min="7176" max="7176" width="29.109375" style="20" customWidth="1"/>
    <col min="7177" max="7177" width="33" style="20" customWidth="1"/>
    <col min="7178" max="7178" width="61.44140625" style="20" bestFit="1" customWidth="1"/>
    <col min="7179" max="7420" width="8.88671875" style="20"/>
    <col min="7421" max="7421" width="16" style="20" customWidth="1"/>
    <col min="7422" max="7422" width="12.44140625" style="20" customWidth="1"/>
    <col min="7423" max="7423" width="17.109375" style="20" customWidth="1"/>
    <col min="7424" max="7424" width="14.6640625" style="20" customWidth="1"/>
    <col min="7425" max="7425" width="22.88671875" style="20" customWidth="1"/>
    <col min="7426" max="7427" width="14.44140625" style="20" customWidth="1"/>
    <col min="7428" max="7429" width="16.44140625" style="20" bestFit="1" customWidth="1"/>
    <col min="7430" max="7431" width="16.44140625" style="20" customWidth="1"/>
    <col min="7432" max="7432" width="29.109375" style="20" customWidth="1"/>
    <col min="7433" max="7433" width="33" style="20" customWidth="1"/>
    <col min="7434" max="7434" width="61.44140625" style="20" bestFit="1" customWidth="1"/>
    <col min="7435" max="7676" width="8.88671875" style="20"/>
    <col min="7677" max="7677" width="16" style="20" customWidth="1"/>
    <col min="7678" max="7678" width="12.44140625" style="20" customWidth="1"/>
    <col min="7679" max="7679" width="17.109375" style="20" customWidth="1"/>
    <col min="7680" max="7680" width="14.6640625" style="20" customWidth="1"/>
    <col min="7681" max="7681" width="22.88671875" style="20" customWidth="1"/>
    <col min="7682" max="7683" width="14.44140625" style="20" customWidth="1"/>
    <col min="7684" max="7685" width="16.44140625" style="20" bestFit="1" customWidth="1"/>
    <col min="7686" max="7687" width="16.44140625" style="20" customWidth="1"/>
    <col min="7688" max="7688" width="29.109375" style="20" customWidth="1"/>
    <col min="7689" max="7689" width="33" style="20" customWidth="1"/>
    <col min="7690" max="7690" width="61.44140625" style="20" bestFit="1" customWidth="1"/>
    <col min="7691" max="7932" width="8.88671875" style="20"/>
    <col min="7933" max="7933" width="16" style="20" customWidth="1"/>
    <col min="7934" max="7934" width="12.44140625" style="20" customWidth="1"/>
    <col min="7935" max="7935" width="17.109375" style="20" customWidth="1"/>
    <col min="7936" max="7936" width="14.6640625" style="20" customWidth="1"/>
    <col min="7937" max="7937" width="22.88671875" style="20" customWidth="1"/>
    <col min="7938" max="7939" width="14.44140625" style="20" customWidth="1"/>
    <col min="7940" max="7941" width="16.44140625" style="20" bestFit="1" customWidth="1"/>
    <col min="7942" max="7943" width="16.44140625" style="20" customWidth="1"/>
    <col min="7944" max="7944" width="29.109375" style="20" customWidth="1"/>
    <col min="7945" max="7945" width="33" style="20" customWidth="1"/>
    <col min="7946" max="7946" width="61.44140625" style="20" bestFit="1" customWidth="1"/>
    <col min="7947" max="8188" width="8.88671875" style="20"/>
    <col min="8189" max="8189" width="16" style="20" customWidth="1"/>
    <col min="8190" max="8190" width="12.44140625" style="20" customWidth="1"/>
    <col min="8191" max="8191" width="17.109375" style="20" customWidth="1"/>
    <col min="8192" max="8192" width="14.6640625" style="20" customWidth="1"/>
    <col min="8193" max="8193" width="22.88671875" style="20" customWidth="1"/>
    <col min="8194" max="8195" width="14.44140625" style="20" customWidth="1"/>
    <col min="8196" max="8197" width="16.44140625" style="20" bestFit="1" customWidth="1"/>
    <col min="8198" max="8199" width="16.44140625" style="20" customWidth="1"/>
    <col min="8200" max="8200" width="29.109375" style="20" customWidth="1"/>
    <col min="8201" max="8201" width="33" style="20" customWidth="1"/>
    <col min="8202" max="8202" width="61.44140625" style="20" bestFit="1" customWidth="1"/>
    <col min="8203" max="8444" width="8.88671875" style="20"/>
    <col min="8445" max="8445" width="16" style="20" customWidth="1"/>
    <col min="8446" max="8446" width="12.44140625" style="20" customWidth="1"/>
    <col min="8447" max="8447" width="17.109375" style="20" customWidth="1"/>
    <col min="8448" max="8448" width="14.6640625" style="20" customWidth="1"/>
    <col min="8449" max="8449" width="22.88671875" style="20" customWidth="1"/>
    <col min="8450" max="8451" width="14.44140625" style="20" customWidth="1"/>
    <col min="8452" max="8453" width="16.44140625" style="20" bestFit="1" customWidth="1"/>
    <col min="8454" max="8455" width="16.44140625" style="20" customWidth="1"/>
    <col min="8456" max="8456" width="29.109375" style="20" customWidth="1"/>
    <col min="8457" max="8457" width="33" style="20" customWidth="1"/>
    <col min="8458" max="8458" width="61.44140625" style="20" bestFit="1" customWidth="1"/>
    <col min="8459" max="8700" width="8.88671875" style="20"/>
    <col min="8701" max="8701" width="16" style="20" customWidth="1"/>
    <col min="8702" max="8702" width="12.44140625" style="20" customWidth="1"/>
    <col min="8703" max="8703" width="17.109375" style="20" customWidth="1"/>
    <col min="8704" max="8704" width="14.6640625" style="20" customWidth="1"/>
    <col min="8705" max="8705" width="22.88671875" style="20" customWidth="1"/>
    <col min="8706" max="8707" width="14.44140625" style="20" customWidth="1"/>
    <col min="8708" max="8709" width="16.44140625" style="20" bestFit="1" customWidth="1"/>
    <col min="8710" max="8711" width="16.44140625" style="20" customWidth="1"/>
    <col min="8712" max="8712" width="29.109375" style="20" customWidth="1"/>
    <col min="8713" max="8713" width="33" style="20" customWidth="1"/>
    <col min="8714" max="8714" width="61.44140625" style="20" bestFit="1" customWidth="1"/>
    <col min="8715" max="8956" width="8.88671875" style="20"/>
    <col min="8957" max="8957" width="16" style="20" customWidth="1"/>
    <col min="8958" max="8958" width="12.44140625" style="20" customWidth="1"/>
    <col min="8959" max="8959" width="17.109375" style="20" customWidth="1"/>
    <col min="8960" max="8960" width="14.6640625" style="20" customWidth="1"/>
    <col min="8961" max="8961" width="22.88671875" style="20" customWidth="1"/>
    <col min="8962" max="8963" width="14.44140625" style="20" customWidth="1"/>
    <col min="8964" max="8965" width="16.44140625" style="20" bestFit="1" customWidth="1"/>
    <col min="8966" max="8967" width="16.44140625" style="20" customWidth="1"/>
    <col min="8968" max="8968" width="29.109375" style="20" customWidth="1"/>
    <col min="8969" max="8969" width="33" style="20" customWidth="1"/>
    <col min="8970" max="8970" width="61.44140625" style="20" bestFit="1" customWidth="1"/>
    <col min="8971" max="9212" width="8.88671875" style="20"/>
    <col min="9213" max="9213" width="16" style="20" customWidth="1"/>
    <col min="9214" max="9214" width="12.44140625" style="20" customWidth="1"/>
    <col min="9215" max="9215" width="17.109375" style="20" customWidth="1"/>
    <col min="9216" max="9216" width="14.6640625" style="20" customWidth="1"/>
    <col min="9217" max="9217" width="22.88671875" style="20" customWidth="1"/>
    <col min="9218" max="9219" width="14.44140625" style="20" customWidth="1"/>
    <col min="9220" max="9221" width="16.44140625" style="20" bestFit="1" customWidth="1"/>
    <col min="9222" max="9223" width="16.44140625" style="20" customWidth="1"/>
    <col min="9224" max="9224" width="29.109375" style="20" customWidth="1"/>
    <col min="9225" max="9225" width="33" style="20" customWidth="1"/>
    <col min="9226" max="9226" width="61.44140625" style="20" bestFit="1" customWidth="1"/>
    <col min="9227" max="9468" width="8.88671875" style="20"/>
    <col min="9469" max="9469" width="16" style="20" customWidth="1"/>
    <col min="9470" max="9470" width="12.44140625" style="20" customWidth="1"/>
    <col min="9471" max="9471" width="17.109375" style="20" customWidth="1"/>
    <col min="9472" max="9472" width="14.6640625" style="20" customWidth="1"/>
    <col min="9473" max="9473" width="22.88671875" style="20" customWidth="1"/>
    <col min="9474" max="9475" width="14.44140625" style="20" customWidth="1"/>
    <col min="9476" max="9477" width="16.44140625" style="20" bestFit="1" customWidth="1"/>
    <col min="9478" max="9479" width="16.44140625" style="20" customWidth="1"/>
    <col min="9480" max="9480" width="29.109375" style="20" customWidth="1"/>
    <col min="9481" max="9481" width="33" style="20" customWidth="1"/>
    <col min="9482" max="9482" width="61.44140625" style="20" bestFit="1" customWidth="1"/>
    <col min="9483" max="9724" width="8.88671875" style="20"/>
    <col min="9725" max="9725" width="16" style="20" customWidth="1"/>
    <col min="9726" max="9726" width="12.44140625" style="20" customWidth="1"/>
    <col min="9727" max="9727" width="17.109375" style="20" customWidth="1"/>
    <col min="9728" max="9728" width="14.6640625" style="20" customWidth="1"/>
    <col min="9729" max="9729" width="22.88671875" style="20" customWidth="1"/>
    <col min="9730" max="9731" width="14.44140625" style="20" customWidth="1"/>
    <col min="9732" max="9733" width="16.44140625" style="20" bestFit="1" customWidth="1"/>
    <col min="9734" max="9735" width="16.44140625" style="20" customWidth="1"/>
    <col min="9736" max="9736" width="29.109375" style="20" customWidth="1"/>
    <col min="9737" max="9737" width="33" style="20" customWidth="1"/>
    <col min="9738" max="9738" width="61.44140625" style="20" bestFit="1" customWidth="1"/>
    <col min="9739" max="9980" width="8.88671875" style="20"/>
    <col min="9981" max="9981" width="16" style="20" customWidth="1"/>
    <col min="9982" max="9982" width="12.44140625" style="20" customWidth="1"/>
    <col min="9983" max="9983" width="17.109375" style="20" customWidth="1"/>
    <col min="9984" max="9984" width="14.6640625" style="20" customWidth="1"/>
    <col min="9985" max="9985" width="22.88671875" style="20" customWidth="1"/>
    <col min="9986" max="9987" width="14.44140625" style="20" customWidth="1"/>
    <col min="9988" max="9989" width="16.44140625" style="20" bestFit="1" customWidth="1"/>
    <col min="9990" max="9991" width="16.44140625" style="20" customWidth="1"/>
    <col min="9992" max="9992" width="29.109375" style="20" customWidth="1"/>
    <col min="9993" max="9993" width="33" style="20" customWidth="1"/>
    <col min="9994" max="9994" width="61.44140625" style="20" bestFit="1" customWidth="1"/>
    <col min="9995" max="10236" width="8.88671875" style="20"/>
    <col min="10237" max="10237" width="16" style="20" customWidth="1"/>
    <col min="10238" max="10238" width="12.44140625" style="20" customWidth="1"/>
    <col min="10239" max="10239" width="17.109375" style="20" customWidth="1"/>
    <col min="10240" max="10240" width="14.6640625" style="20" customWidth="1"/>
    <col min="10241" max="10241" width="22.88671875" style="20" customWidth="1"/>
    <col min="10242" max="10243" width="14.44140625" style="20" customWidth="1"/>
    <col min="10244" max="10245" width="16.44140625" style="20" bestFit="1" customWidth="1"/>
    <col min="10246" max="10247" width="16.44140625" style="20" customWidth="1"/>
    <col min="10248" max="10248" width="29.109375" style="20" customWidth="1"/>
    <col min="10249" max="10249" width="33" style="20" customWidth="1"/>
    <col min="10250" max="10250" width="61.44140625" style="20" bestFit="1" customWidth="1"/>
    <col min="10251" max="10492" width="8.88671875" style="20"/>
    <col min="10493" max="10493" width="16" style="20" customWidth="1"/>
    <col min="10494" max="10494" width="12.44140625" style="20" customWidth="1"/>
    <col min="10495" max="10495" width="17.109375" style="20" customWidth="1"/>
    <col min="10496" max="10496" width="14.6640625" style="20" customWidth="1"/>
    <col min="10497" max="10497" width="22.88671875" style="20" customWidth="1"/>
    <col min="10498" max="10499" width="14.44140625" style="20" customWidth="1"/>
    <col min="10500" max="10501" width="16.44140625" style="20" bestFit="1" customWidth="1"/>
    <col min="10502" max="10503" width="16.44140625" style="20" customWidth="1"/>
    <col min="10504" max="10504" width="29.109375" style="20" customWidth="1"/>
    <col min="10505" max="10505" width="33" style="20" customWidth="1"/>
    <col min="10506" max="10506" width="61.44140625" style="20" bestFit="1" customWidth="1"/>
    <col min="10507" max="10748" width="8.88671875" style="20"/>
    <col min="10749" max="10749" width="16" style="20" customWidth="1"/>
    <col min="10750" max="10750" width="12.44140625" style="20" customWidth="1"/>
    <col min="10751" max="10751" width="17.109375" style="20" customWidth="1"/>
    <col min="10752" max="10752" width="14.6640625" style="20" customWidth="1"/>
    <col min="10753" max="10753" width="22.88671875" style="20" customWidth="1"/>
    <col min="10754" max="10755" width="14.44140625" style="20" customWidth="1"/>
    <col min="10756" max="10757" width="16.44140625" style="20" bestFit="1" customWidth="1"/>
    <col min="10758" max="10759" width="16.44140625" style="20" customWidth="1"/>
    <col min="10760" max="10760" width="29.109375" style="20" customWidth="1"/>
    <col min="10761" max="10761" width="33" style="20" customWidth="1"/>
    <col min="10762" max="10762" width="61.44140625" style="20" bestFit="1" customWidth="1"/>
    <col min="10763" max="11004" width="8.88671875" style="20"/>
    <col min="11005" max="11005" width="16" style="20" customWidth="1"/>
    <col min="11006" max="11006" width="12.44140625" style="20" customWidth="1"/>
    <col min="11007" max="11007" width="17.109375" style="20" customWidth="1"/>
    <col min="11008" max="11008" width="14.6640625" style="20" customWidth="1"/>
    <col min="11009" max="11009" width="22.88671875" style="20" customWidth="1"/>
    <col min="11010" max="11011" width="14.44140625" style="20" customWidth="1"/>
    <col min="11012" max="11013" width="16.44140625" style="20" bestFit="1" customWidth="1"/>
    <col min="11014" max="11015" width="16.44140625" style="20" customWidth="1"/>
    <col min="11016" max="11016" width="29.109375" style="20" customWidth="1"/>
    <col min="11017" max="11017" width="33" style="20" customWidth="1"/>
    <col min="11018" max="11018" width="61.44140625" style="20" bestFit="1" customWidth="1"/>
    <col min="11019" max="11260" width="8.88671875" style="20"/>
    <col min="11261" max="11261" width="16" style="20" customWidth="1"/>
    <col min="11262" max="11262" width="12.44140625" style="20" customWidth="1"/>
    <col min="11263" max="11263" width="17.109375" style="20" customWidth="1"/>
    <col min="11264" max="11264" width="14.6640625" style="20" customWidth="1"/>
    <col min="11265" max="11265" width="22.88671875" style="20" customWidth="1"/>
    <col min="11266" max="11267" width="14.44140625" style="20" customWidth="1"/>
    <col min="11268" max="11269" width="16.44140625" style="20" bestFit="1" customWidth="1"/>
    <col min="11270" max="11271" width="16.44140625" style="20" customWidth="1"/>
    <col min="11272" max="11272" width="29.109375" style="20" customWidth="1"/>
    <col min="11273" max="11273" width="33" style="20" customWidth="1"/>
    <col min="11274" max="11274" width="61.44140625" style="20" bestFit="1" customWidth="1"/>
    <col min="11275" max="11516" width="8.88671875" style="20"/>
    <col min="11517" max="11517" width="16" style="20" customWidth="1"/>
    <col min="11518" max="11518" width="12.44140625" style="20" customWidth="1"/>
    <col min="11519" max="11519" width="17.109375" style="20" customWidth="1"/>
    <col min="11520" max="11520" width="14.6640625" style="20" customWidth="1"/>
    <col min="11521" max="11521" width="22.88671875" style="20" customWidth="1"/>
    <col min="11522" max="11523" width="14.44140625" style="20" customWidth="1"/>
    <col min="11524" max="11525" width="16.44140625" style="20" bestFit="1" customWidth="1"/>
    <col min="11526" max="11527" width="16.44140625" style="20" customWidth="1"/>
    <col min="11528" max="11528" width="29.109375" style="20" customWidth="1"/>
    <col min="11529" max="11529" width="33" style="20" customWidth="1"/>
    <col min="11530" max="11530" width="61.44140625" style="20" bestFit="1" customWidth="1"/>
    <col min="11531" max="11772" width="8.88671875" style="20"/>
    <col min="11773" max="11773" width="16" style="20" customWidth="1"/>
    <col min="11774" max="11774" width="12.44140625" style="20" customWidth="1"/>
    <col min="11775" max="11775" width="17.109375" style="20" customWidth="1"/>
    <col min="11776" max="11776" width="14.6640625" style="20" customWidth="1"/>
    <col min="11777" max="11777" width="22.88671875" style="20" customWidth="1"/>
    <col min="11778" max="11779" width="14.44140625" style="20" customWidth="1"/>
    <col min="11780" max="11781" width="16.44140625" style="20" bestFit="1" customWidth="1"/>
    <col min="11782" max="11783" width="16.44140625" style="20" customWidth="1"/>
    <col min="11784" max="11784" width="29.109375" style="20" customWidth="1"/>
    <col min="11785" max="11785" width="33" style="20" customWidth="1"/>
    <col min="11786" max="11786" width="61.44140625" style="20" bestFit="1" customWidth="1"/>
    <col min="11787" max="12028" width="8.88671875" style="20"/>
    <col min="12029" max="12029" width="16" style="20" customWidth="1"/>
    <col min="12030" max="12030" width="12.44140625" style="20" customWidth="1"/>
    <col min="12031" max="12031" width="17.109375" style="20" customWidth="1"/>
    <col min="12032" max="12032" width="14.6640625" style="20" customWidth="1"/>
    <col min="12033" max="12033" width="22.88671875" style="20" customWidth="1"/>
    <col min="12034" max="12035" width="14.44140625" style="20" customWidth="1"/>
    <col min="12036" max="12037" width="16.44140625" style="20" bestFit="1" customWidth="1"/>
    <col min="12038" max="12039" width="16.44140625" style="20" customWidth="1"/>
    <col min="12040" max="12040" width="29.109375" style="20" customWidth="1"/>
    <col min="12041" max="12041" width="33" style="20" customWidth="1"/>
    <col min="12042" max="12042" width="61.44140625" style="20" bestFit="1" customWidth="1"/>
    <col min="12043" max="12284" width="8.88671875" style="20"/>
    <col min="12285" max="12285" width="16" style="20" customWidth="1"/>
    <col min="12286" max="12286" width="12.44140625" style="20" customWidth="1"/>
    <col min="12287" max="12287" width="17.109375" style="20" customWidth="1"/>
    <col min="12288" max="12288" width="14.6640625" style="20" customWidth="1"/>
    <col min="12289" max="12289" width="22.88671875" style="20" customWidth="1"/>
    <col min="12290" max="12291" width="14.44140625" style="20" customWidth="1"/>
    <col min="12292" max="12293" width="16.44140625" style="20" bestFit="1" customWidth="1"/>
    <col min="12294" max="12295" width="16.44140625" style="20" customWidth="1"/>
    <col min="12296" max="12296" width="29.109375" style="20" customWidth="1"/>
    <col min="12297" max="12297" width="33" style="20" customWidth="1"/>
    <col min="12298" max="12298" width="61.44140625" style="20" bestFit="1" customWidth="1"/>
    <col min="12299" max="12540" width="8.88671875" style="20"/>
    <col min="12541" max="12541" width="16" style="20" customWidth="1"/>
    <col min="12542" max="12542" width="12.44140625" style="20" customWidth="1"/>
    <col min="12543" max="12543" width="17.109375" style="20" customWidth="1"/>
    <col min="12544" max="12544" width="14.6640625" style="20" customWidth="1"/>
    <col min="12545" max="12545" width="22.88671875" style="20" customWidth="1"/>
    <col min="12546" max="12547" width="14.44140625" style="20" customWidth="1"/>
    <col min="12548" max="12549" width="16.44140625" style="20" bestFit="1" customWidth="1"/>
    <col min="12550" max="12551" width="16.44140625" style="20" customWidth="1"/>
    <col min="12552" max="12552" width="29.109375" style="20" customWidth="1"/>
    <col min="12553" max="12553" width="33" style="20" customWidth="1"/>
    <col min="12554" max="12554" width="61.44140625" style="20" bestFit="1" customWidth="1"/>
    <col min="12555" max="12796" width="8.88671875" style="20"/>
    <col min="12797" max="12797" width="16" style="20" customWidth="1"/>
    <col min="12798" max="12798" width="12.44140625" style="20" customWidth="1"/>
    <col min="12799" max="12799" width="17.109375" style="20" customWidth="1"/>
    <col min="12800" max="12800" width="14.6640625" style="20" customWidth="1"/>
    <col min="12801" max="12801" width="22.88671875" style="20" customWidth="1"/>
    <col min="12802" max="12803" width="14.44140625" style="20" customWidth="1"/>
    <col min="12804" max="12805" width="16.44140625" style="20" bestFit="1" customWidth="1"/>
    <col min="12806" max="12807" width="16.44140625" style="20" customWidth="1"/>
    <col min="12808" max="12808" width="29.109375" style="20" customWidth="1"/>
    <col min="12809" max="12809" width="33" style="20" customWidth="1"/>
    <col min="12810" max="12810" width="61.44140625" style="20" bestFit="1" customWidth="1"/>
    <col min="12811" max="13052" width="8.88671875" style="20"/>
    <col min="13053" max="13053" width="16" style="20" customWidth="1"/>
    <col min="13054" max="13054" width="12.44140625" style="20" customWidth="1"/>
    <col min="13055" max="13055" width="17.109375" style="20" customWidth="1"/>
    <col min="13056" max="13056" width="14.6640625" style="20" customWidth="1"/>
    <col min="13057" max="13057" width="22.88671875" style="20" customWidth="1"/>
    <col min="13058" max="13059" width="14.44140625" style="20" customWidth="1"/>
    <col min="13060" max="13061" width="16.44140625" style="20" bestFit="1" customWidth="1"/>
    <col min="13062" max="13063" width="16.44140625" style="20" customWidth="1"/>
    <col min="13064" max="13064" width="29.109375" style="20" customWidth="1"/>
    <col min="13065" max="13065" width="33" style="20" customWidth="1"/>
    <col min="13066" max="13066" width="61.44140625" style="20" bestFit="1" customWidth="1"/>
    <col min="13067" max="13308" width="8.88671875" style="20"/>
    <col min="13309" max="13309" width="16" style="20" customWidth="1"/>
    <col min="13310" max="13310" width="12.44140625" style="20" customWidth="1"/>
    <col min="13311" max="13311" width="17.109375" style="20" customWidth="1"/>
    <col min="13312" max="13312" width="14.6640625" style="20" customWidth="1"/>
    <col min="13313" max="13313" width="22.88671875" style="20" customWidth="1"/>
    <col min="13314" max="13315" width="14.44140625" style="20" customWidth="1"/>
    <col min="13316" max="13317" width="16.44140625" style="20" bestFit="1" customWidth="1"/>
    <col min="13318" max="13319" width="16.44140625" style="20" customWidth="1"/>
    <col min="13320" max="13320" width="29.109375" style="20" customWidth="1"/>
    <col min="13321" max="13321" width="33" style="20" customWidth="1"/>
    <col min="13322" max="13322" width="61.44140625" style="20" bestFit="1" customWidth="1"/>
    <col min="13323" max="13564" width="8.88671875" style="20"/>
    <col min="13565" max="13565" width="16" style="20" customWidth="1"/>
    <col min="13566" max="13566" width="12.44140625" style="20" customWidth="1"/>
    <col min="13567" max="13567" width="17.109375" style="20" customWidth="1"/>
    <col min="13568" max="13568" width="14.6640625" style="20" customWidth="1"/>
    <col min="13569" max="13569" width="22.88671875" style="20" customWidth="1"/>
    <col min="13570" max="13571" width="14.44140625" style="20" customWidth="1"/>
    <col min="13572" max="13573" width="16.44140625" style="20" bestFit="1" customWidth="1"/>
    <col min="13574" max="13575" width="16.44140625" style="20" customWidth="1"/>
    <col min="13576" max="13576" width="29.109375" style="20" customWidth="1"/>
    <col min="13577" max="13577" width="33" style="20" customWidth="1"/>
    <col min="13578" max="13578" width="61.44140625" style="20" bestFit="1" customWidth="1"/>
    <col min="13579" max="13820" width="8.88671875" style="20"/>
    <col min="13821" max="13821" width="16" style="20" customWidth="1"/>
    <col min="13822" max="13822" width="12.44140625" style="20" customWidth="1"/>
    <col min="13823" max="13823" width="17.109375" style="20" customWidth="1"/>
    <col min="13824" max="13824" width="14.6640625" style="20" customWidth="1"/>
    <col min="13825" max="13825" width="22.88671875" style="20" customWidth="1"/>
    <col min="13826" max="13827" width="14.44140625" style="20" customWidth="1"/>
    <col min="13828" max="13829" width="16.44140625" style="20" bestFit="1" customWidth="1"/>
    <col min="13830" max="13831" width="16.44140625" style="20" customWidth="1"/>
    <col min="13832" max="13832" width="29.109375" style="20" customWidth="1"/>
    <col min="13833" max="13833" width="33" style="20" customWidth="1"/>
    <col min="13834" max="13834" width="61.44140625" style="20" bestFit="1" customWidth="1"/>
    <col min="13835" max="14076" width="8.88671875" style="20"/>
    <col min="14077" max="14077" width="16" style="20" customWidth="1"/>
    <col min="14078" max="14078" width="12.44140625" style="20" customWidth="1"/>
    <col min="14079" max="14079" width="17.109375" style="20" customWidth="1"/>
    <col min="14080" max="14080" width="14.6640625" style="20" customWidth="1"/>
    <col min="14081" max="14081" width="22.88671875" style="20" customWidth="1"/>
    <col min="14082" max="14083" width="14.44140625" style="20" customWidth="1"/>
    <col min="14084" max="14085" width="16.44140625" style="20" bestFit="1" customWidth="1"/>
    <col min="14086" max="14087" width="16.44140625" style="20" customWidth="1"/>
    <col min="14088" max="14088" width="29.109375" style="20" customWidth="1"/>
    <col min="14089" max="14089" width="33" style="20" customWidth="1"/>
    <col min="14090" max="14090" width="61.44140625" style="20" bestFit="1" customWidth="1"/>
    <col min="14091" max="14332" width="8.88671875" style="20"/>
    <col min="14333" max="14333" width="16" style="20" customWidth="1"/>
    <col min="14334" max="14334" width="12.44140625" style="20" customWidth="1"/>
    <col min="14335" max="14335" width="17.109375" style="20" customWidth="1"/>
    <col min="14336" max="14336" width="14.6640625" style="20" customWidth="1"/>
    <col min="14337" max="14337" width="22.88671875" style="20" customWidth="1"/>
    <col min="14338" max="14339" width="14.44140625" style="20" customWidth="1"/>
    <col min="14340" max="14341" width="16.44140625" style="20" bestFit="1" customWidth="1"/>
    <col min="14342" max="14343" width="16.44140625" style="20" customWidth="1"/>
    <col min="14344" max="14344" width="29.109375" style="20" customWidth="1"/>
    <col min="14345" max="14345" width="33" style="20" customWidth="1"/>
    <col min="14346" max="14346" width="61.44140625" style="20" bestFit="1" customWidth="1"/>
    <col min="14347" max="14588" width="8.88671875" style="20"/>
    <col min="14589" max="14589" width="16" style="20" customWidth="1"/>
    <col min="14590" max="14590" width="12.44140625" style="20" customWidth="1"/>
    <col min="14591" max="14591" width="17.109375" style="20" customWidth="1"/>
    <col min="14592" max="14592" width="14.6640625" style="20" customWidth="1"/>
    <col min="14593" max="14593" width="22.88671875" style="20" customWidth="1"/>
    <col min="14594" max="14595" width="14.44140625" style="20" customWidth="1"/>
    <col min="14596" max="14597" width="16.44140625" style="20" bestFit="1" customWidth="1"/>
    <col min="14598" max="14599" width="16.44140625" style="20" customWidth="1"/>
    <col min="14600" max="14600" width="29.109375" style="20" customWidth="1"/>
    <col min="14601" max="14601" width="33" style="20" customWidth="1"/>
    <col min="14602" max="14602" width="61.44140625" style="20" bestFit="1" customWidth="1"/>
    <col min="14603" max="14844" width="8.88671875" style="20"/>
    <col min="14845" max="14845" width="16" style="20" customWidth="1"/>
    <col min="14846" max="14846" width="12.44140625" style="20" customWidth="1"/>
    <col min="14847" max="14847" width="17.109375" style="20" customWidth="1"/>
    <col min="14848" max="14848" width="14.6640625" style="20" customWidth="1"/>
    <col min="14849" max="14849" width="22.88671875" style="20" customWidth="1"/>
    <col min="14850" max="14851" width="14.44140625" style="20" customWidth="1"/>
    <col min="14852" max="14853" width="16.44140625" style="20" bestFit="1" customWidth="1"/>
    <col min="14854" max="14855" width="16.44140625" style="20" customWidth="1"/>
    <col min="14856" max="14856" width="29.109375" style="20" customWidth="1"/>
    <col min="14857" max="14857" width="33" style="20" customWidth="1"/>
    <col min="14858" max="14858" width="61.44140625" style="20" bestFit="1" customWidth="1"/>
    <col min="14859" max="15100" width="8.88671875" style="20"/>
    <col min="15101" max="15101" width="16" style="20" customWidth="1"/>
    <col min="15102" max="15102" width="12.44140625" style="20" customWidth="1"/>
    <col min="15103" max="15103" width="17.109375" style="20" customWidth="1"/>
    <col min="15104" max="15104" width="14.6640625" style="20" customWidth="1"/>
    <col min="15105" max="15105" width="22.88671875" style="20" customWidth="1"/>
    <col min="15106" max="15107" width="14.44140625" style="20" customWidth="1"/>
    <col min="15108" max="15109" width="16.44140625" style="20" bestFit="1" customWidth="1"/>
    <col min="15110" max="15111" width="16.44140625" style="20" customWidth="1"/>
    <col min="15112" max="15112" width="29.109375" style="20" customWidth="1"/>
    <col min="15113" max="15113" width="33" style="20" customWidth="1"/>
    <col min="15114" max="15114" width="61.44140625" style="20" bestFit="1" customWidth="1"/>
    <col min="15115" max="15356" width="8.88671875" style="20"/>
    <col min="15357" max="15357" width="16" style="20" customWidth="1"/>
    <col min="15358" max="15358" width="12.44140625" style="20" customWidth="1"/>
    <col min="15359" max="15359" width="17.109375" style="20" customWidth="1"/>
    <col min="15360" max="15360" width="14.6640625" style="20" customWidth="1"/>
    <col min="15361" max="15361" width="22.88671875" style="20" customWidth="1"/>
    <col min="15362" max="15363" width="14.44140625" style="20" customWidth="1"/>
    <col min="15364" max="15365" width="16.44140625" style="20" bestFit="1" customWidth="1"/>
    <col min="15366" max="15367" width="16.44140625" style="20" customWidth="1"/>
    <col min="15368" max="15368" width="29.109375" style="20" customWidth="1"/>
    <col min="15369" max="15369" width="33" style="20" customWidth="1"/>
    <col min="15370" max="15370" width="61.44140625" style="20" bestFit="1" customWidth="1"/>
    <col min="15371" max="15612" width="8.88671875" style="20"/>
    <col min="15613" max="15613" width="16" style="20" customWidth="1"/>
    <col min="15614" max="15614" width="12.44140625" style="20" customWidth="1"/>
    <col min="15615" max="15615" width="17.109375" style="20" customWidth="1"/>
    <col min="15616" max="15616" width="14.6640625" style="20" customWidth="1"/>
    <col min="15617" max="15617" width="22.88671875" style="20" customWidth="1"/>
    <col min="15618" max="15619" width="14.44140625" style="20" customWidth="1"/>
    <col min="15620" max="15621" width="16.44140625" style="20" bestFit="1" customWidth="1"/>
    <col min="15622" max="15623" width="16.44140625" style="20" customWidth="1"/>
    <col min="15624" max="15624" width="29.109375" style="20" customWidth="1"/>
    <col min="15625" max="15625" width="33" style="20" customWidth="1"/>
    <col min="15626" max="15626" width="61.44140625" style="20" bestFit="1" customWidth="1"/>
    <col min="15627" max="15868" width="8.88671875" style="20"/>
    <col min="15869" max="15869" width="16" style="20" customWidth="1"/>
    <col min="15870" max="15870" width="12.44140625" style="20" customWidth="1"/>
    <col min="15871" max="15871" width="17.109375" style="20" customWidth="1"/>
    <col min="15872" max="15872" width="14.6640625" style="20" customWidth="1"/>
    <col min="15873" max="15873" width="22.88671875" style="20" customWidth="1"/>
    <col min="15874" max="15875" width="14.44140625" style="20" customWidth="1"/>
    <col min="15876" max="15877" width="16.44140625" style="20" bestFit="1" customWidth="1"/>
    <col min="15878" max="15879" width="16.44140625" style="20" customWidth="1"/>
    <col min="15880" max="15880" width="29.109375" style="20" customWidth="1"/>
    <col min="15881" max="15881" width="33" style="20" customWidth="1"/>
    <col min="15882" max="15882" width="61.44140625" style="20" bestFit="1" customWidth="1"/>
    <col min="15883" max="16124" width="8.88671875" style="20"/>
    <col min="16125" max="16125" width="16" style="20" customWidth="1"/>
    <col min="16126" max="16126" width="12.44140625" style="20" customWidth="1"/>
    <col min="16127" max="16127" width="17.109375" style="20" customWidth="1"/>
    <col min="16128" max="16128" width="14.6640625" style="20" customWidth="1"/>
    <col min="16129" max="16129" width="22.88671875" style="20" customWidth="1"/>
    <col min="16130" max="16131" width="14.44140625" style="20" customWidth="1"/>
    <col min="16132" max="16133" width="16.44140625" style="20" bestFit="1" customWidth="1"/>
    <col min="16134" max="16135" width="16.44140625" style="20" customWidth="1"/>
    <col min="16136" max="16136" width="29.109375" style="20" customWidth="1"/>
    <col min="16137" max="16137" width="33" style="20" customWidth="1"/>
    <col min="16138" max="16138" width="61.44140625" style="20" bestFit="1" customWidth="1"/>
    <col min="16139" max="16384" width="8.88671875" style="20"/>
  </cols>
  <sheetData>
    <row r="1" spans="1:10" ht="14.4">
      <c r="I1" s="75" t="s">
        <v>131</v>
      </c>
    </row>
    <row r="3" spans="1:10" ht="31.2">
      <c r="G3" s="71" t="s">
        <v>121</v>
      </c>
    </row>
    <row r="4" spans="1:10" ht="27.6">
      <c r="E4" s="17" t="s">
        <v>221</v>
      </c>
    </row>
    <row r="5" spans="1:10">
      <c r="E5" s="147"/>
    </row>
    <row r="6" spans="1:10">
      <c r="E6" s="147" t="s">
        <v>220</v>
      </c>
    </row>
    <row r="7" spans="1:10" ht="14.4" thickBot="1"/>
    <row r="8" spans="1:10" s="23" customFormat="1" ht="12.75" customHeight="1">
      <c r="A8" s="222" t="s">
        <v>122</v>
      </c>
      <c r="B8" s="224" t="s">
        <v>123</v>
      </c>
      <c r="C8" s="229" t="s">
        <v>125</v>
      </c>
      <c r="D8" s="224" t="s">
        <v>124</v>
      </c>
      <c r="E8" s="224" t="s">
        <v>80</v>
      </c>
      <c r="F8" s="224" t="s">
        <v>7</v>
      </c>
      <c r="G8" s="232" t="s">
        <v>127</v>
      </c>
      <c r="H8" s="232" t="s">
        <v>126</v>
      </c>
      <c r="I8" s="232" t="s">
        <v>17</v>
      </c>
      <c r="J8" s="144" t="s">
        <v>224</v>
      </c>
    </row>
    <row r="9" spans="1:10" s="23" customFormat="1">
      <c r="A9" s="235"/>
      <c r="B9" s="236"/>
      <c r="C9" s="237"/>
      <c r="D9" s="236"/>
      <c r="E9" s="236"/>
      <c r="F9" s="236"/>
      <c r="G9" s="233"/>
      <c r="H9" s="234"/>
      <c r="I9" s="234"/>
    </row>
    <row r="10" spans="1:10" s="46" customFormat="1" ht="33" customHeight="1">
      <c r="A10" s="24"/>
      <c r="B10" s="25"/>
      <c r="C10" s="28"/>
      <c r="D10" s="25"/>
      <c r="E10" s="27" t="s">
        <v>87</v>
      </c>
      <c r="F10" s="26"/>
      <c r="G10" s="44"/>
      <c r="H10" s="44"/>
      <c r="I10" s="44"/>
      <c r="J10" s="29"/>
    </row>
    <row r="11" spans="1:10" s="46" customFormat="1" ht="33" customHeight="1">
      <c r="A11" s="50"/>
      <c r="B11" s="30"/>
      <c r="C11" s="33"/>
      <c r="D11" s="30"/>
      <c r="E11" s="32" t="s">
        <v>89</v>
      </c>
      <c r="F11" s="31"/>
      <c r="G11" s="47"/>
      <c r="H11" s="47"/>
      <c r="I11" s="47"/>
      <c r="J11" s="29"/>
    </row>
    <row r="12" spans="1:10" s="46" customFormat="1" ht="33" customHeight="1">
      <c r="A12" s="50"/>
      <c r="B12" s="30"/>
      <c r="C12" s="33"/>
      <c r="D12" s="30"/>
      <c r="E12" s="32" t="s">
        <v>91</v>
      </c>
      <c r="F12" s="31"/>
      <c r="G12" s="47"/>
      <c r="H12" s="47"/>
      <c r="I12" s="47"/>
      <c r="J12" s="29"/>
    </row>
    <row r="13" spans="1:10" s="46" customFormat="1" ht="33" customHeight="1">
      <c r="A13" s="72" t="s">
        <v>107</v>
      </c>
      <c r="B13" s="72"/>
      <c r="C13" s="72"/>
      <c r="D13" s="72"/>
      <c r="E13" s="72"/>
      <c r="F13" s="72"/>
      <c r="G13" s="69"/>
      <c r="H13" s="69"/>
      <c r="I13" s="69"/>
      <c r="J13" s="29"/>
    </row>
  </sheetData>
  <mergeCells count="9">
    <mergeCell ref="G8:G9"/>
    <mergeCell ref="H8:H9"/>
    <mergeCell ref="I8:I9"/>
    <mergeCell ref="A8:A9"/>
    <mergeCell ref="B8:B9"/>
    <mergeCell ref="D8:D9"/>
    <mergeCell ref="E8:E9"/>
    <mergeCell ref="F8:F9"/>
    <mergeCell ref="C8:C9"/>
  </mergeCells>
  <hyperlinks>
    <hyperlink ref="I1" location="'List of reports'!A1" display="Trở về" xr:uid="{00000000-0004-0000-0500-000000000000}"/>
  </hyperlinks>
  <pageMargins left="0.28000000000000003" right="0.17" top="0.42" bottom="0.23" header="0.3" footer="0.17"/>
  <pageSetup scale="8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26"/>
  <sheetViews>
    <sheetView topLeftCell="A7" workbookViewId="0">
      <selection activeCell="N20" sqref="N20"/>
    </sheetView>
  </sheetViews>
  <sheetFormatPr defaultColWidth="14.44140625" defaultRowHeight="15.6"/>
  <cols>
    <col min="1" max="1" width="35" style="87" customWidth="1"/>
    <col min="2" max="2" width="18.6640625" style="87" customWidth="1"/>
    <col min="3" max="3" width="16.44140625" style="87" customWidth="1"/>
    <col min="4" max="4" width="16.109375" style="87" customWidth="1"/>
    <col min="5" max="5" width="6.5546875" style="87" customWidth="1"/>
    <col min="6" max="6" width="6" style="87" bestFit="1" customWidth="1"/>
    <col min="7" max="7" width="14.6640625" style="87" bestFit="1" customWidth="1"/>
    <col min="8" max="8" width="7" style="87" customWidth="1"/>
    <col min="9" max="9" width="6.5546875" style="87" customWidth="1"/>
    <col min="10" max="10" width="6.44140625" style="87" customWidth="1"/>
    <col min="11" max="11" width="5.109375" style="87" customWidth="1"/>
    <col min="12" max="12" width="6.33203125" style="87" customWidth="1"/>
    <col min="13" max="13" width="7.5546875" style="87" customWidth="1"/>
    <col min="14" max="14" width="15.6640625" style="87" bestFit="1" customWidth="1"/>
    <col min="15" max="257" width="14.44140625" style="87"/>
    <col min="258" max="258" width="42.88671875" style="87" customWidth="1"/>
    <col min="259" max="259" width="16.44140625" style="87" customWidth="1"/>
    <col min="260" max="260" width="16.109375" style="87" customWidth="1"/>
    <col min="261" max="261" width="5.6640625" style="87" bestFit="1" customWidth="1"/>
    <col min="262" max="262" width="6" style="87" bestFit="1" customWidth="1"/>
    <col min="263" max="263" width="8.109375" style="87" customWidth="1"/>
    <col min="264" max="264" width="7" style="87" customWidth="1"/>
    <col min="265" max="265" width="6.5546875" style="87" customWidth="1"/>
    <col min="266" max="266" width="6.44140625" style="87" customWidth="1"/>
    <col min="267" max="267" width="5.109375" style="87" customWidth="1"/>
    <col min="268" max="268" width="6.33203125" style="87" customWidth="1"/>
    <col min="269" max="269" width="7.5546875" style="87" customWidth="1"/>
    <col min="270" max="270" width="15.6640625" style="87" bestFit="1" customWidth="1"/>
    <col min="271" max="513" width="14.44140625" style="87"/>
    <col min="514" max="514" width="42.88671875" style="87" customWidth="1"/>
    <col min="515" max="515" width="16.44140625" style="87" customWidth="1"/>
    <col min="516" max="516" width="16.109375" style="87" customWidth="1"/>
    <col min="517" max="517" width="5.6640625" style="87" bestFit="1" customWidth="1"/>
    <col min="518" max="518" width="6" style="87" bestFit="1" customWidth="1"/>
    <col min="519" max="519" width="8.109375" style="87" customWidth="1"/>
    <col min="520" max="520" width="7" style="87" customWidth="1"/>
    <col min="521" max="521" width="6.5546875" style="87" customWidth="1"/>
    <col min="522" max="522" width="6.44140625" style="87" customWidth="1"/>
    <col min="523" max="523" width="5.109375" style="87" customWidth="1"/>
    <col min="524" max="524" width="6.33203125" style="87" customWidth="1"/>
    <col min="525" max="525" width="7.5546875" style="87" customWidth="1"/>
    <col min="526" max="526" width="15.6640625" style="87" bestFit="1" customWidth="1"/>
    <col min="527" max="769" width="14.44140625" style="87"/>
    <col min="770" max="770" width="42.88671875" style="87" customWidth="1"/>
    <col min="771" max="771" width="16.44140625" style="87" customWidth="1"/>
    <col min="772" max="772" width="16.109375" style="87" customWidth="1"/>
    <col min="773" max="773" width="5.6640625" style="87" bestFit="1" customWidth="1"/>
    <col min="774" max="774" width="6" style="87" bestFit="1" customWidth="1"/>
    <col min="775" max="775" width="8.109375" style="87" customWidth="1"/>
    <col min="776" max="776" width="7" style="87" customWidth="1"/>
    <col min="777" max="777" width="6.5546875" style="87" customWidth="1"/>
    <col min="778" max="778" width="6.44140625" style="87" customWidth="1"/>
    <col min="779" max="779" width="5.109375" style="87" customWidth="1"/>
    <col min="780" max="780" width="6.33203125" style="87" customWidth="1"/>
    <col min="781" max="781" width="7.5546875" style="87" customWidth="1"/>
    <col min="782" max="782" width="15.6640625" style="87" bestFit="1" customWidth="1"/>
    <col min="783" max="1025" width="14.44140625" style="87"/>
    <col min="1026" max="1026" width="42.88671875" style="87" customWidth="1"/>
    <col min="1027" max="1027" width="16.44140625" style="87" customWidth="1"/>
    <col min="1028" max="1028" width="16.109375" style="87" customWidth="1"/>
    <col min="1029" max="1029" width="5.6640625" style="87" bestFit="1" customWidth="1"/>
    <col min="1030" max="1030" width="6" style="87" bestFit="1" customWidth="1"/>
    <col min="1031" max="1031" width="8.109375" style="87" customWidth="1"/>
    <col min="1032" max="1032" width="7" style="87" customWidth="1"/>
    <col min="1033" max="1033" width="6.5546875" style="87" customWidth="1"/>
    <col min="1034" max="1034" width="6.44140625" style="87" customWidth="1"/>
    <col min="1035" max="1035" width="5.109375" style="87" customWidth="1"/>
    <col min="1036" max="1036" width="6.33203125" style="87" customWidth="1"/>
    <col min="1037" max="1037" width="7.5546875" style="87" customWidth="1"/>
    <col min="1038" max="1038" width="15.6640625" style="87" bestFit="1" customWidth="1"/>
    <col min="1039" max="1281" width="14.44140625" style="87"/>
    <col min="1282" max="1282" width="42.88671875" style="87" customWidth="1"/>
    <col min="1283" max="1283" width="16.44140625" style="87" customWidth="1"/>
    <col min="1284" max="1284" width="16.109375" style="87" customWidth="1"/>
    <col min="1285" max="1285" width="5.6640625" style="87" bestFit="1" customWidth="1"/>
    <col min="1286" max="1286" width="6" style="87" bestFit="1" customWidth="1"/>
    <col min="1287" max="1287" width="8.109375" style="87" customWidth="1"/>
    <col min="1288" max="1288" width="7" style="87" customWidth="1"/>
    <col min="1289" max="1289" width="6.5546875" style="87" customWidth="1"/>
    <col min="1290" max="1290" width="6.44140625" style="87" customWidth="1"/>
    <col min="1291" max="1291" width="5.109375" style="87" customWidth="1"/>
    <col min="1292" max="1292" width="6.33203125" style="87" customWidth="1"/>
    <col min="1293" max="1293" width="7.5546875" style="87" customWidth="1"/>
    <col min="1294" max="1294" width="15.6640625" style="87" bestFit="1" customWidth="1"/>
    <col min="1295" max="1537" width="14.44140625" style="87"/>
    <col min="1538" max="1538" width="42.88671875" style="87" customWidth="1"/>
    <col min="1539" max="1539" width="16.44140625" style="87" customWidth="1"/>
    <col min="1540" max="1540" width="16.109375" style="87" customWidth="1"/>
    <col min="1541" max="1541" width="5.6640625" style="87" bestFit="1" customWidth="1"/>
    <col min="1542" max="1542" width="6" style="87" bestFit="1" customWidth="1"/>
    <col min="1543" max="1543" width="8.109375" style="87" customWidth="1"/>
    <col min="1544" max="1544" width="7" style="87" customWidth="1"/>
    <col min="1545" max="1545" width="6.5546875" style="87" customWidth="1"/>
    <col min="1546" max="1546" width="6.44140625" style="87" customWidth="1"/>
    <col min="1547" max="1547" width="5.109375" style="87" customWidth="1"/>
    <col min="1548" max="1548" width="6.33203125" style="87" customWidth="1"/>
    <col min="1549" max="1549" width="7.5546875" style="87" customWidth="1"/>
    <col min="1550" max="1550" width="15.6640625" style="87" bestFit="1" customWidth="1"/>
    <col min="1551" max="1793" width="14.44140625" style="87"/>
    <col min="1794" max="1794" width="42.88671875" style="87" customWidth="1"/>
    <col min="1795" max="1795" width="16.44140625" style="87" customWidth="1"/>
    <col min="1796" max="1796" width="16.109375" style="87" customWidth="1"/>
    <col min="1797" max="1797" width="5.6640625" style="87" bestFit="1" customWidth="1"/>
    <col min="1798" max="1798" width="6" style="87" bestFit="1" customWidth="1"/>
    <col min="1799" max="1799" width="8.109375" style="87" customWidth="1"/>
    <col min="1800" max="1800" width="7" style="87" customWidth="1"/>
    <col min="1801" max="1801" width="6.5546875" style="87" customWidth="1"/>
    <col min="1802" max="1802" width="6.44140625" style="87" customWidth="1"/>
    <col min="1803" max="1803" width="5.109375" style="87" customWidth="1"/>
    <col min="1804" max="1804" width="6.33203125" style="87" customWidth="1"/>
    <col min="1805" max="1805" width="7.5546875" style="87" customWidth="1"/>
    <col min="1806" max="1806" width="15.6640625" style="87" bestFit="1" customWidth="1"/>
    <col min="1807" max="2049" width="14.44140625" style="87"/>
    <col min="2050" max="2050" width="42.88671875" style="87" customWidth="1"/>
    <col min="2051" max="2051" width="16.44140625" style="87" customWidth="1"/>
    <col min="2052" max="2052" width="16.109375" style="87" customWidth="1"/>
    <col min="2053" max="2053" width="5.6640625" style="87" bestFit="1" customWidth="1"/>
    <col min="2054" max="2054" width="6" style="87" bestFit="1" customWidth="1"/>
    <col min="2055" max="2055" width="8.109375" style="87" customWidth="1"/>
    <col min="2056" max="2056" width="7" style="87" customWidth="1"/>
    <col min="2057" max="2057" width="6.5546875" style="87" customWidth="1"/>
    <col min="2058" max="2058" width="6.44140625" style="87" customWidth="1"/>
    <col min="2059" max="2059" width="5.109375" style="87" customWidth="1"/>
    <col min="2060" max="2060" width="6.33203125" style="87" customWidth="1"/>
    <col min="2061" max="2061" width="7.5546875" style="87" customWidth="1"/>
    <col min="2062" max="2062" width="15.6640625" style="87" bestFit="1" customWidth="1"/>
    <col min="2063" max="2305" width="14.44140625" style="87"/>
    <col min="2306" max="2306" width="42.88671875" style="87" customWidth="1"/>
    <col min="2307" max="2307" width="16.44140625" style="87" customWidth="1"/>
    <col min="2308" max="2308" width="16.109375" style="87" customWidth="1"/>
    <col min="2309" max="2309" width="5.6640625" style="87" bestFit="1" customWidth="1"/>
    <col min="2310" max="2310" width="6" style="87" bestFit="1" customWidth="1"/>
    <col min="2311" max="2311" width="8.109375" style="87" customWidth="1"/>
    <col min="2312" max="2312" width="7" style="87" customWidth="1"/>
    <col min="2313" max="2313" width="6.5546875" style="87" customWidth="1"/>
    <col min="2314" max="2314" width="6.44140625" style="87" customWidth="1"/>
    <col min="2315" max="2315" width="5.109375" style="87" customWidth="1"/>
    <col min="2316" max="2316" width="6.33203125" style="87" customWidth="1"/>
    <col min="2317" max="2317" width="7.5546875" style="87" customWidth="1"/>
    <col min="2318" max="2318" width="15.6640625" style="87" bestFit="1" customWidth="1"/>
    <col min="2319" max="2561" width="14.44140625" style="87"/>
    <col min="2562" max="2562" width="42.88671875" style="87" customWidth="1"/>
    <col min="2563" max="2563" width="16.44140625" style="87" customWidth="1"/>
    <col min="2564" max="2564" width="16.109375" style="87" customWidth="1"/>
    <col min="2565" max="2565" width="5.6640625" style="87" bestFit="1" customWidth="1"/>
    <col min="2566" max="2566" width="6" style="87" bestFit="1" customWidth="1"/>
    <col min="2567" max="2567" width="8.109375" style="87" customWidth="1"/>
    <col min="2568" max="2568" width="7" style="87" customWidth="1"/>
    <col min="2569" max="2569" width="6.5546875" style="87" customWidth="1"/>
    <col min="2570" max="2570" width="6.44140625" style="87" customWidth="1"/>
    <col min="2571" max="2571" width="5.109375" style="87" customWidth="1"/>
    <col min="2572" max="2572" width="6.33203125" style="87" customWidth="1"/>
    <col min="2573" max="2573" width="7.5546875" style="87" customWidth="1"/>
    <col min="2574" max="2574" width="15.6640625" style="87" bestFit="1" customWidth="1"/>
    <col min="2575" max="2817" width="14.44140625" style="87"/>
    <col min="2818" max="2818" width="42.88671875" style="87" customWidth="1"/>
    <col min="2819" max="2819" width="16.44140625" style="87" customWidth="1"/>
    <col min="2820" max="2820" width="16.109375" style="87" customWidth="1"/>
    <col min="2821" max="2821" width="5.6640625" style="87" bestFit="1" customWidth="1"/>
    <col min="2822" max="2822" width="6" style="87" bestFit="1" customWidth="1"/>
    <col min="2823" max="2823" width="8.109375" style="87" customWidth="1"/>
    <col min="2824" max="2824" width="7" style="87" customWidth="1"/>
    <col min="2825" max="2825" width="6.5546875" style="87" customWidth="1"/>
    <col min="2826" max="2826" width="6.44140625" style="87" customWidth="1"/>
    <col min="2827" max="2827" width="5.109375" style="87" customWidth="1"/>
    <col min="2828" max="2828" width="6.33203125" style="87" customWidth="1"/>
    <col min="2829" max="2829" width="7.5546875" style="87" customWidth="1"/>
    <col min="2830" max="2830" width="15.6640625" style="87" bestFit="1" customWidth="1"/>
    <col min="2831" max="3073" width="14.44140625" style="87"/>
    <col min="3074" max="3074" width="42.88671875" style="87" customWidth="1"/>
    <col min="3075" max="3075" width="16.44140625" style="87" customWidth="1"/>
    <col min="3076" max="3076" width="16.109375" style="87" customWidth="1"/>
    <col min="3077" max="3077" width="5.6640625" style="87" bestFit="1" customWidth="1"/>
    <col min="3078" max="3078" width="6" style="87" bestFit="1" customWidth="1"/>
    <col min="3079" max="3079" width="8.109375" style="87" customWidth="1"/>
    <col min="3080" max="3080" width="7" style="87" customWidth="1"/>
    <col min="3081" max="3081" width="6.5546875" style="87" customWidth="1"/>
    <col min="3082" max="3082" width="6.44140625" style="87" customWidth="1"/>
    <col min="3083" max="3083" width="5.109375" style="87" customWidth="1"/>
    <col min="3084" max="3084" width="6.33203125" style="87" customWidth="1"/>
    <col min="3085" max="3085" width="7.5546875" style="87" customWidth="1"/>
    <col min="3086" max="3086" width="15.6640625" style="87" bestFit="1" customWidth="1"/>
    <col min="3087" max="3329" width="14.44140625" style="87"/>
    <col min="3330" max="3330" width="42.88671875" style="87" customWidth="1"/>
    <col min="3331" max="3331" width="16.44140625" style="87" customWidth="1"/>
    <col min="3332" max="3332" width="16.109375" style="87" customWidth="1"/>
    <col min="3333" max="3333" width="5.6640625" style="87" bestFit="1" customWidth="1"/>
    <col min="3334" max="3334" width="6" style="87" bestFit="1" customWidth="1"/>
    <col min="3335" max="3335" width="8.109375" style="87" customWidth="1"/>
    <col min="3336" max="3336" width="7" style="87" customWidth="1"/>
    <col min="3337" max="3337" width="6.5546875" style="87" customWidth="1"/>
    <col min="3338" max="3338" width="6.44140625" style="87" customWidth="1"/>
    <col min="3339" max="3339" width="5.109375" style="87" customWidth="1"/>
    <col min="3340" max="3340" width="6.33203125" style="87" customWidth="1"/>
    <col min="3341" max="3341" width="7.5546875" style="87" customWidth="1"/>
    <col min="3342" max="3342" width="15.6640625" style="87" bestFit="1" customWidth="1"/>
    <col min="3343" max="3585" width="14.44140625" style="87"/>
    <col min="3586" max="3586" width="42.88671875" style="87" customWidth="1"/>
    <col min="3587" max="3587" width="16.44140625" style="87" customWidth="1"/>
    <col min="3588" max="3588" width="16.109375" style="87" customWidth="1"/>
    <col min="3589" max="3589" width="5.6640625" style="87" bestFit="1" customWidth="1"/>
    <col min="3590" max="3590" width="6" style="87" bestFit="1" customWidth="1"/>
    <col min="3591" max="3591" width="8.109375" style="87" customWidth="1"/>
    <col min="3592" max="3592" width="7" style="87" customWidth="1"/>
    <col min="3593" max="3593" width="6.5546875" style="87" customWidth="1"/>
    <col min="3594" max="3594" width="6.44140625" style="87" customWidth="1"/>
    <col min="3595" max="3595" width="5.109375" style="87" customWidth="1"/>
    <col min="3596" max="3596" width="6.33203125" style="87" customWidth="1"/>
    <col min="3597" max="3597" width="7.5546875" style="87" customWidth="1"/>
    <col min="3598" max="3598" width="15.6640625" style="87" bestFit="1" customWidth="1"/>
    <col min="3599" max="3841" width="14.44140625" style="87"/>
    <col min="3842" max="3842" width="42.88671875" style="87" customWidth="1"/>
    <col min="3843" max="3843" width="16.44140625" style="87" customWidth="1"/>
    <col min="3844" max="3844" width="16.109375" style="87" customWidth="1"/>
    <col min="3845" max="3845" width="5.6640625" style="87" bestFit="1" customWidth="1"/>
    <col min="3846" max="3846" width="6" style="87" bestFit="1" customWidth="1"/>
    <col min="3847" max="3847" width="8.109375" style="87" customWidth="1"/>
    <col min="3848" max="3848" width="7" style="87" customWidth="1"/>
    <col min="3849" max="3849" width="6.5546875" style="87" customWidth="1"/>
    <col min="3850" max="3850" width="6.44140625" style="87" customWidth="1"/>
    <col min="3851" max="3851" width="5.109375" style="87" customWidth="1"/>
    <col min="3852" max="3852" width="6.33203125" style="87" customWidth="1"/>
    <col min="3853" max="3853" width="7.5546875" style="87" customWidth="1"/>
    <col min="3854" max="3854" width="15.6640625" style="87" bestFit="1" customWidth="1"/>
    <col min="3855" max="4097" width="14.44140625" style="87"/>
    <col min="4098" max="4098" width="42.88671875" style="87" customWidth="1"/>
    <col min="4099" max="4099" width="16.44140625" style="87" customWidth="1"/>
    <col min="4100" max="4100" width="16.109375" style="87" customWidth="1"/>
    <col min="4101" max="4101" width="5.6640625" style="87" bestFit="1" customWidth="1"/>
    <col min="4102" max="4102" width="6" style="87" bestFit="1" customWidth="1"/>
    <col min="4103" max="4103" width="8.109375" style="87" customWidth="1"/>
    <col min="4104" max="4104" width="7" style="87" customWidth="1"/>
    <col min="4105" max="4105" width="6.5546875" style="87" customWidth="1"/>
    <col min="4106" max="4106" width="6.44140625" style="87" customWidth="1"/>
    <col min="4107" max="4107" width="5.109375" style="87" customWidth="1"/>
    <col min="4108" max="4108" width="6.33203125" style="87" customWidth="1"/>
    <col min="4109" max="4109" width="7.5546875" style="87" customWidth="1"/>
    <col min="4110" max="4110" width="15.6640625" style="87" bestFit="1" customWidth="1"/>
    <col min="4111" max="4353" width="14.44140625" style="87"/>
    <col min="4354" max="4354" width="42.88671875" style="87" customWidth="1"/>
    <col min="4355" max="4355" width="16.44140625" style="87" customWidth="1"/>
    <col min="4356" max="4356" width="16.109375" style="87" customWidth="1"/>
    <col min="4357" max="4357" width="5.6640625" style="87" bestFit="1" customWidth="1"/>
    <col min="4358" max="4358" width="6" style="87" bestFit="1" customWidth="1"/>
    <col min="4359" max="4359" width="8.109375" style="87" customWidth="1"/>
    <col min="4360" max="4360" width="7" style="87" customWidth="1"/>
    <col min="4361" max="4361" width="6.5546875" style="87" customWidth="1"/>
    <col min="4362" max="4362" width="6.44140625" style="87" customWidth="1"/>
    <col min="4363" max="4363" width="5.109375" style="87" customWidth="1"/>
    <col min="4364" max="4364" width="6.33203125" style="87" customWidth="1"/>
    <col min="4365" max="4365" width="7.5546875" style="87" customWidth="1"/>
    <col min="4366" max="4366" width="15.6640625" style="87" bestFit="1" customWidth="1"/>
    <col min="4367" max="4609" width="14.44140625" style="87"/>
    <col min="4610" max="4610" width="42.88671875" style="87" customWidth="1"/>
    <col min="4611" max="4611" width="16.44140625" style="87" customWidth="1"/>
    <col min="4612" max="4612" width="16.109375" style="87" customWidth="1"/>
    <col min="4613" max="4613" width="5.6640625" style="87" bestFit="1" customWidth="1"/>
    <col min="4614" max="4614" width="6" style="87" bestFit="1" customWidth="1"/>
    <col min="4615" max="4615" width="8.109375" style="87" customWidth="1"/>
    <col min="4616" max="4616" width="7" style="87" customWidth="1"/>
    <col min="4617" max="4617" width="6.5546875" style="87" customWidth="1"/>
    <col min="4618" max="4618" width="6.44140625" style="87" customWidth="1"/>
    <col min="4619" max="4619" width="5.109375" style="87" customWidth="1"/>
    <col min="4620" max="4620" width="6.33203125" style="87" customWidth="1"/>
    <col min="4621" max="4621" width="7.5546875" style="87" customWidth="1"/>
    <col min="4622" max="4622" width="15.6640625" style="87" bestFit="1" customWidth="1"/>
    <col min="4623" max="4865" width="14.44140625" style="87"/>
    <col min="4866" max="4866" width="42.88671875" style="87" customWidth="1"/>
    <col min="4867" max="4867" width="16.44140625" style="87" customWidth="1"/>
    <col min="4868" max="4868" width="16.109375" style="87" customWidth="1"/>
    <col min="4869" max="4869" width="5.6640625" style="87" bestFit="1" customWidth="1"/>
    <col min="4870" max="4870" width="6" style="87" bestFit="1" customWidth="1"/>
    <col min="4871" max="4871" width="8.109375" style="87" customWidth="1"/>
    <col min="4872" max="4872" width="7" style="87" customWidth="1"/>
    <col min="4873" max="4873" width="6.5546875" style="87" customWidth="1"/>
    <col min="4874" max="4874" width="6.44140625" style="87" customWidth="1"/>
    <col min="4875" max="4875" width="5.109375" style="87" customWidth="1"/>
    <col min="4876" max="4876" width="6.33203125" style="87" customWidth="1"/>
    <col min="4877" max="4877" width="7.5546875" style="87" customWidth="1"/>
    <col min="4878" max="4878" width="15.6640625" style="87" bestFit="1" customWidth="1"/>
    <col min="4879" max="5121" width="14.44140625" style="87"/>
    <col min="5122" max="5122" width="42.88671875" style="87" customWidth="1"/>
    <col min="5123" max="5123" width="16.44140625" style="87" customWidth="1"/>
    <col min="5124" max="5124" width="16.109375" style="87" customWidth="1"/>
    <col min="5125" max="5125" width="5.6640625" style="87" bestFit="1" customWidth="1"/>
    <col min="5126" max="5126" width="6" style="87" bestFit="1" customWidth="1"/>
    <col min="5127" max="5127" width="8.109375" style="87" customWidth="1"/>
    <col min="5128" max="5128" width="7" style="87" customWidth="1"/>
    <col min="5129" max="5129" width="6.5546875" style="87" customWidth="1"/>
    <col min="5130" max="5130" width="6.44140625" style="87" customWidth="1"/>
    <col min="5131" max="5131" width="5.109375" style="87" customWidth="1"/>
    <col min="5132" max="5132" width="6.33203125" style="87" customWidth="1"/>
    <col min="5133" max="5133" width="7.5546875" style="87" customWidth="1"/>
    <col min="5134" max="5134" width="15.6640625" style="87" bestFit="1" customWidth="1"/>
    <col min="5135" max="5377" width="14.44140625" style="87"/>
    <col min="5378" max="5378" width="42.88671875" style="87" customWidth="1"/>
    <col min="5379" max="5379" width="16.44140625" style="87" customWidth="1"/>
    <col min="5380" max="5380" width="16.109375" style="87" customWidth="1"/>
    <col min="5381" max="5381" width="5.6640625" style="87" bestFit="1" customWidth="1"/>
    <col min="5382" max="5382" width="6" style="87" bestFit="1" customWidth="1"/>
    <col min="5383" max="5383" width="8.109375" style="87" customWidth="1"/>
    <col min="5384" max="5384" width="7" style="87" customWidth="1"/>
    <col min="5385" max="5385" width="6.5546875" style="87" customWidth="1"/>
    <col min="5386" max="5386" width="6.44140625" style="87" customWidth="1"/>
    <col min="5387" max="5387" width="5.109375" style="87" customWidth="1"/>
    <col min="5388" max="5388" width="6.33203125" style="87" customWidth="1"/>
    <col min="5389" max="5389" width="7.5546875" style="87" customWidth="1"/>
    <col min="5390" max="5390" width="15.6640625" style="87" bestFit="1" customWidth="1"/>
    <col min="5391" max="5633" width="14.44140625" style="87"/>
    <col min="5634" max="5634" width="42.88671875" style="87" customWidth="1"/>
    <col min="5635" max="5635" width="16.44140625" style="87" customWidth="1"/>
    <col min="5636" max="5636" width="16.109375" style="87" customWidth="1"/>
    <col min="5637" max="5637" width="5.6640625" style="87" bestFit="1" customWidth="1"/>
    <col min="5638" max="5638" width="6" style="87" bestFit="1" customWidth="1"/>
    <col min="5639" max="5639" width="8.109375" style="87" customWidth="1"/>
    <col min="5640" max="5640" width="7" style="87" customWidth="1"/>
    <col min="5641" max="5641" width="6.5546875" style="87" customWidth="1"/>
    <col min="5642" max="5642" width="6.44140625" style="87" customWidth="1"/>
    <col min="5643" max="5643" width="5.109375" style="87" customWidth="1"/>
    <col min="5644" max="5644" width="6.33203125" style="87" customWidth="1"/>
    <col min="5645" max="5645" width="7.5546875" style="87" customWidth="1"/>
    <col min="5646" max="5646" width="15.6640625" style="87" bestFit="1" customWidth="1"/>
    <col min="5647" max="5889" width="14.44140625" style="87"/>
    <col min="5890" max="5890" width="42.88671875" style="87" customWidth="1"/>
    <col min="5891" max="5891" width="16.44140625" style="87" customWidth="1"/>
    <col min="5892" max="5892" width="16.109375" style="87" customWidth="1"/>
    <col min="5893" max="5893" width="5.6640625" style="87" bestFit="1" customWidth="1"/>
    <col min="5894" max="5894" width="6" style="87" bestFit="1" customWidth="1"/>
    <col min="5895" max="5895" width="8.109375" style="87" customWidth="1"/>
    <col min="5896" max="5896" width="7" style="87" customWidth="1"/>
    <col min="5897" max="5897" width="6.5546875" style="87" customWidth="1"/>
    <col min="5898" max="5898" width="6.44140625" style="87" customWidth="1"/>
    <col min="5899" max="5899" width="5.109375" style="87" customWidth="1"/>
    <col min="5900" max="5900" width="6.33203125" style="87" customWidth="1"/>
    <col min="5901" max="5901" width="7.5546875" style="87" customWidth="1"/>
    <col min="5902" max="5902" width="15.6640625" style="87" bestFit="1" customWidth="1"/>
    <col min="5903" max="6145" width="14.44140625" style="87"/>
    <col min="6146" max="6146" width="42.88671875" style="87" customWidth="1"/>
    <col min="6147" max="6147" width="16.44140625" style="87" customWidth="1"/>
    <col min="6148" max="6148" width="16.109375" style="87" customWidth="1"/>
    <col min="6149" max="6149" width="5.6640625" style="87" bestFit="1" customWidth="1"/>
    <col min="6150" max="6150" width="6" style="87" bestFit="1" customWidth="1"/>
    <col min="6151" max="6151" width="8.109375" style="87" customWidth="1"/>
    <col min="6152" max="6152" width="7" style="87" customWidth="1"/>
    <col min="6153" max="6153" width="6.5546875" style="87" customWidth="1"/>
    <col min="6154" max="6154" width="6.44140625" style="87" customWidth="1"/>
    <col min="6155" max="6155" width="5.109375" style="87" customWidth="1"/>
    <col min="6156" max="6156" width="6.33203125" style="87" customWidth="1"/>
    <col min="6157" max="6157" width="7.5546875" style="87" customWidth="1"/>
    <col min="6158" max="6158" width="15.6640625" style="87" bestFit="1" customWidth="1"/>
    <col min="6159" max="6401" width="14.44140625" style="87"/>
    <col min="6402" max="6402" width="42.88671875" style="87" customWidth="1"/>
    <col min="6403" max="6403" width="16.44140625" style="87" customWidth="1"/>
    <col min="6404" max="6404" width="16.109375" style="87" customWidth="1"/>
    <col min="6405" max="6405" width="5.6640625" style="87" bestFit="1" customWidth="1"/>
    <col min="6406" max="6406" width="6" style="87" bestFit="1" customWidth="1"/>
    <col min="6407" max="6407" width="8.109375" style="87" customWidth="1"/>
    <col min="6408" max="6408" width="7" style="87" customWidth="1"/>
    <col min="6409" max="6409" width="6.5546875" style="87" customWidth="1"/>
    <col min="6410" max="6410" width="6.44140625" style="87" customWidth="1"/>
    <col min="6411" max="6411" width="5.109375" style="87" customWidth="1"/>
    <col min="6412" max="6412" width="6.33203125" style="87" customWidth="1"/>
    <col min="6413" max="6413" width="7.5546875" style="87" customWidth="1"/>
    <col min="6414" max="6414" width="15.6640625" style="87" bestFit="1" customWidth="1"/>
    <col min="6415" max="6657" width="14.44140625" style="87"/>
    <col min="6658" max="6658" width="42.88671875" style="87" customWidth="1"/>
    <col min="6659" max="6659" width="16.44140625" style="87" customWidth="1"/>
    <col min="6660" max="6660" width="16.109375" style="87" customWidth="1"/>
    <col min="6661" max="6661" width="5.6640625" style="87" bestFit="1" customWidth="1"/>
    <col min="6662" max="6662" width="6" style="87" bestFit="1" customWidth="1"/>
    <col min="6663" max="6663" width="8.109375" style="87" customWidth="1"/>
    <col min="6664" max="6664" width="7" style="87" customWidth="1"/>
    <col min="6665" max="6665" width="6.5546875" style="87" customWidth="1"/>
    <col min="6666" max="6666" width="6.44140625" style="87" customWidth="1"/>
    <col min="6667" max="6667" width="5.109375" style="87" customWidth="1"/>
    <col min="6668" max="6668" width="6.33203125" style="87" customWidth="1"/>
    <col min="6669" max="6669" width="7.5546875" style="87" customWidth="1"/>
    <col min="6670" max="6670" width="15.6640625" style="87" bestFit="1" customWidth="1"/>
    <col min="6671" max="6913" width="14.44140625" style="87"/>
    <col min="6914" max="6914" width="42.88671875" style="87" customWidth="1"/>
    <col min="6915" max="6915" width="16.44140625" style="87" customWidth="1"/>
    <col min="6916" max="6916" width="16.109375" style="87" customWidth="1"/>
    <col min="6917" max="6917" width="5.6640625" style="87" bestFit="1" customWidth="1"/>
    <col min="6918" max="6918" width="6" style="87" bestFit="1" customWidth="1"/>
    <col min="6919" max="6919" width="8.109375" style="87" customWidth="1"/>
    <col min="6920" max="6920" width="7" style="87" customWidth="1"/>
    <col min="6921" max="6921" width="6.5546875" style="87" customWidth="1"/>
    <col min="6922" max="6922" width="6.44140625" style="87" customWidth="1"/>
    <col min="6923" max="6923" width="5.109375" style="87" customWidth="1"/>
    <col min="6924" max="6924" width="6.33203125" style="87" customWidth="1"/>
    <col min="6925" max="6925" width="7.5546875" style="87" customWidth="1"/>
    <col min="6926" max="6926" width="15.6640625" style="87" bestFit="1" customWidth="1"/>
    <col min="6927" max="7169" width="14.44140625" style="87"/>
    <col min="7170" max="7170" width="42.88671875" style="87" customWidth="1"/>
    <col min="7171" max="7171" width="16.44140625" style="87" customWidth="1"/>
    <col min="7172" max="7172" width="16.109375" style="87" customWidth="1"/>
    <col min="7173" max="7173" width="5.6640625" style="87" bestFit="1" customWidth="1"/>
    <col min="7174" max="7174" width="6" style="87" bestFit="1" customWidth="1"/>
    <col min="7175" max="7175" width="8.109375" style="87" customWidth="1"/>
    <col min="7176" max="7176" width="7" style="87" customWidth="1"/>
    <col min="7177" max="7177" width="6.5546875" style="87" customWidth="1"/>
    <col min="7178" max="7178" width="6.44140625" style="87" customWidth="1"/>
    <col min="7179" max="7179" width="5.109375" style="87" customWidth="1"/>
    <col min="7180" max="7180" width="6.33203125" style="87" customWidth="1"/>
    <col min="7181" max="7181" width="7.5546875" style="87" customWidth="1"/>
    <col min="7182" max="7182" width="15.6640625" style="87" bestFit="1" customWidth="1"/>
    <col min="7183" max="7425" width="14.44140625" style="87"/>
    <col min="7426" max="7426" width="42.88671875" style="87" customWidth="1"/>
    <col min="7427" max="7427" width="16.44140625" style="87" customWidth="1"/>
    <col min="7428" max="7428" width="16.109375" style="87" customWidth="1"/>
    <col min="7429" max="7429" width="5.6640625" style="87" bestFit="1" customWidth="1"/>
    <col min="7430" max="7430" width="6" style="87" bestFit="1" customWidth="1"/>
    <col min="7431" max="7431" width="8.109375" style="87" customWidth="1"/>
    <col min="7432" max="7432" width="7" style="87" customWidth="1"/>
    <col min="7433" max="7433" width="6.5546875" style="87" customWidth="1"/>
    <col min="7434" max="7434" width="6.44140625" style="87" customWidth="1"/>
    <col min="7435" max="7435" width="5.109375" style="87" customWidth="1"/>
    <col min="7436" max="7436" width="6.33203125" style="87" customWidth="1"/>
    <col min="7437" max="7437" width="7.5546875" style="87" customWidth="1"/>
    <col min="7438" max="7438" width="15.6640625" style="87" bestFit="1" customWidth="1"/>
    <col min="7439" max="7681" width="14.44140625" style="87"/>
    <col min="7682" max="7682" width="42.88671875" style="87" customWidth="1"/>
    <col min="7683" max="7683" width="16.44140625" style="87" customWidth="1"/>
    <col min="7684" max="7684" width="16.109375" style="87" customWidth="1"/>
    <col min="7685" max="7685" width="5.6640625" style="87" bestFit="1" customWidth="1"/>
    <col min="7686" max="7686" width="6" style="87" bestFit="1" customWidth="1"/>
    <col min="7687" max="7687" width="8.109375" style="87" customWidth="1"/>
    <col min="7688" max="7688" width="7" style="87" customWidth="1"/>
    <col min="7689" max="7689" width="6.5546875" style="87" customWidth="1"/>
    <col min="7690" max="7690" width="6.44140625" style="87" customWidth="1"/>
    <col min="7691" max="7691" width="5.109375" style="87" customWidth="1"/>
    <col min="7692" max="7692" width="6.33203125" style="87" customWidth="1"/>
    <col min="7693" max="7693" width="7.5546875" style="87" customWidth="1"/>
    <col min="7694" max="7694" width="15.6640625" style="87" bestFit="1" customWidth="1"/>
    <col min="7695" max="7937" width="14.44140625" style="87"/>
    <col min="7938" max="7938" width="42.88671875" style="87" customWidth="1"/>
    <col min="7939" max="7939" width="16.44140625" style="87" customWidth="1"/>
    <col min="7940" max="7940" width="16.109375" style="87" customWidth="1"/>
    <col min="7941" max="7941" width="5.6640625" style="87" bestFit="1" customWidth="1"/>
    <col min="7942" max="7942" width="6" style="87" bestFit="1" customWidth="1"/>
    <col min="7943" max="7943" width="8.109375" style="87" customWidth="1"/>
    <col min="7944" max="7944" width="7" style="87" customWidth="1"/>
    <col min="7945" max="7945" width="6.5546875" style="87" customWidth="1"/>
    <col min="7946" max="7946" width="6.44140625" style="87" customWidth="1"/>
    <col min="7947" max="7947" width="5.109375" style="87" customWidth="1"/>
    <col min="7948" max="7948" width="6.33203125" style="87" customWidth="1"/>
    <col min="7949" max="7949" width="7.5546875" style="87" customWidth="1"/>
    <col min="7950" max="7950" width="15.6640625" style="87" bestFit="1" customWidth="1"/>
    <col min="7951" max="8193" width="14.44140625" style="87"/>
    <col min="8194" max="8194" width="42.88671875" style="87" customWidth="1"/>
    <col min="8195" max="8195" width="16.44140625" style="87" customWidth="1"/>
    <col min="8196" max="8196" width="16.109375" style="87" customWidth="1"/>
    <col min="8197" max="8197" width="5.6640625" style="87" bestFit="1" customWidth="1"/>
    <col min="8198" max="8198" width="6" style="87" bestFit="1" customWidth="1"/>
    <col min="8199" max="8199" width="8.109375" style="87" customWidth="1"/>
    <col min="8200" max="8200" width="7" style="87" customWidth="1"/>
    <col min="8201" max="8201" width="6.5546875" style="87" customWidth="1"/>
    <col min="8202" max="8202" width="6.44140625" style="87" customWidth="1"/>
    <col min="8203" max="8203" width="5.109375" style="87" customWidth="1"/>
    <col min="8204" max="8204" width="6.33203125" style="87" customWidth="1"/>
    <col min="8205" max="8205" width="7.5546875" style="87" customWidth="1"/>
    <col min="8206" max="8206" width="15.6640625" style="87" bestFit="1" customWidth="1"/>
    <col min="8207" max="8449" width="14.44140625" style="87"/>
    <col min="8450" max="8450" width="42.88671875" style="87" customWidth="1"/>
    <col min="8451" max="8451" width="16.44140625" style="87" customWidth="1"/>
    <col min="8452" max="8452" width="16.109375" style="87" customWidth="1"/>
    <col min="8453" max="8453" width="5.6640625" style="87" bestFit="1" customWidth="1"/>
    <col min="8454" max="8454" width="6" style="87" bestFit="1" customWidth="1"/>
    <col min="8455" max="8455" width="8.109375" style="87" customWidth="1"/>
    <col min="8456" max="8456" width="7" style="87" customWidth="1"/>
    <col min="8457" max="8457" width="6.5546875" style="87" customWidth="1"/>
    <col min="8458" max="8458" width="6.44140625" style="87" customWidth="1"/>
    <col min="8459" max="8459" width="5.109375" style="87" customWidth="1"/>
    <col min="8460" max="8460" width="6.33203125" style="87" customWidth="1"/>
    <col min="8461" max="8461" width="7.5546875" style="87" customWidth="1"/>
    <col min="8462" max="8462" width="15.6640625" style="87" bestFit="1" customWidth="1"/>
    <col min="8463" max="8705" width="14.44140625" style="87"/>
    <col min="8706" max="8706" width="42.88671875" style="87" customWidth="1"/>
    <col min="8707" max="8707" width="16.44140625" style="87" customWidth="1"/>
    <col min="8708" max="8708" width="16.109375" style="87" customWidth="1"/>
    <col min="8709" max="8709" width="5.6640625" style="87" bestFit="1" customWidth="1"/>
    <col min="8710" max="8710" width="6" style="87" bestFit="1" customWidth="1"/>
    <col min="8711" max="8711" width="8.109375" style="87" customWidth="1"/>
    <col min="8712" max="8712" width="7" style="87" customWidth="1"/>
    <col min="8713" max="8713" width="6.5546875" style="87" customWidth="1"/>
    <col min="8714" max="8714" width="6.44140625" style="87" customWidth="1"/>
    <col min="8715" max="8715" width="5.109375" style="87" customWidth="1"/>
    <col min="8716" max="8716" width="6.33203125" style="87" customWidth="1"/>
    <col min="8717" max="8717" width="7.5546875" style="87" customWidth="1"/>
    <col min="8718" max="8718" width="15.6640625" style="87" bestFit="1" customWidth="1"/>
    <col min="8719" max="8961" width="14.44140625" style="87"/>
    <col min="8962" max="8962" width="42.88671875" style="87" customWidth="1"/>
    <col min="8963" max="8963" width="16.44140625" style="87" customWidth="1"/>
    <col min="8964" max="8964" width="16.109375" style="87" customWidth="1"/>
    <col min="8965" max="8965" width="5.6640625" style="87" bestFit="1" customWidth="1"/>
    <col min="8966" max="8966" width="6" style="87" bestFit="1" customWidth="1"/>
    <col min="8967" max="8967" width="8.109375" style="87" customWidth="1"/>
    <col min="8968" max="8968" width="7" style="87" customWidth="1"/>
    <col min="8969" max="8969" width="6.5546875" style="87" customWidth="1"/>
    <col min="8970" max="8970" width="6.44140625" style="87" customWidth="1"/>
    <col min="8971" max="8971" width="5.109375" style="87" customWidth="1"/>
    <col min="8972" max="8972" width="6.33203125" style="87" customWidth="1"/>
    <col min="8973" max="8973" width="7.5546875" style="87" customWidth="1"/>
    <col min="8974" max="8974" width="15.6640625" style="87" bestFit="1" customWidth="1"/>
    <col min="8975" max="9217" width="14.44140625" style="87"/>
    <col min="9218" max="9218" width="42.88671875" style="87" customWidth="1"/>
    <col min="9219" max="9219" width="16.44140625" style="87" customWidth="1"/>
    <col min="9220" max="9220" width="16.109375" style="87" customWidth="1"/>
    <col min="9221" max="9221" width="5.6640625" style="87" bestFit="1" customWidth="1"/>
    <col min="9222" max="9222" width="6" style="87" bestFit="1" customWidth="1"/>
    <col min="9223" max="9223" width="8.109375" style="87" customWidth="1"/>
    <col min="9224" max="9224" width="7" style="87" customWidth="1"/>
    <col min="9225" max="9225" width="6.5546875" style="87" customWidth="1"/>
    <col min="9226" max="9226" width="6.44140625" style="87" customWidth="1"/>
    <col min="9227" max="9227" width="5.109375" style="87" customWidth="1"/>
    <col min="9228" max="9228" width="6.33203125" style="87" customWidth="1"/>
    <col min="9229" max="9229" width="7.5546875" style="87" customWidth="1"/>
    <col min="9230" max="9230" width="15.6640625" style="87" bestFit="1" customWidth="1"/>
    <col min="9231" max="9473" width="14.44140625" style="87"/>
    <col min="9474" max="9474" width="42.88671875" style="87" customWidth="1"/>
    <col min="9475" max="9475" width="16.44140625" style="87" customWidth="1"/>
    <col min="9476" max="9476" width="16.109375" style="87" customWidth="1"/>
    <col min="9477" max="9477" width="5.6640625" style="87" bestFit="1" customWidth="1"/>
    <col min="9478" max="9478" width="6" style="87" bestFit="1" customWidth="1"/>
    <col min="9479" max="9479" width="8.109375" style="87" customWidth="1"/>
    <col min="9480" max="9480" width="7" style="87" customWidth="1"/>
    <col min="9481" max="9481" width="6.5546875" style="87" customWidth="1"/>
    <col min="9482" max="9482" width="6.44140625" style="87" customWidth="1"/>
    <col min="9483" max="9483" width="5.109375" style="87" customWidth="1"/>
    <col min="9484" max="9484" width="6.33203125" style="87" customWidth="1"/>
    <col min="9485" max="9485" width="7.5546875" style="87" customWidth="1"/>
    <col min="9486" max="9486" width="15.6640625" style="87" bestFit="1" customWidth="1"/>
    <col min="9487" max="9729" width="14.44140625" style="87"/>
    <col min="9730" max="9730" width="42.88671875" style="87" customWidth="1"/>
    <col min="9731" max="9731" width="16.44140625" style="87" customWidth="1"/>
    <col min="9732" max="9732" width="16.109375" style="87" customWidth="1"/>
    <col min="9733" max="9733" width="5.6640625" style="87" bestFit="1" customWidth="1"/>
    <col min="9734" max="9734" width="6" style="87" bestFit="1" customWidth="1"/>
    <col min="9735" max="9735" width="8.109375" style="87" customWidth="1"/>
    <col min="9736" max="9736" width="7" style="87" customWidth="1"/>
    <col min="9737" max="9737" width="6.5546875" style="87" customWidth="1"/>
    <col min="9738" max="9738" width="6.44140625" style="87" customWidth="1"/>
    <col min="9739" max="9739" width="5.109375" style="87" customWidth="1"/>
    <col min="9740" max="9740" width="6.33203125" style="87" customWidth="1"/>
    <col min="9741" max="9741" width="7.5546875" style="87" customWidth="1"/>
    <col min="9742" max="9742" width="15.6640625" style="87" bestFit="1" customWidth="1"/>
    <col min="9743" max="9985" width="14.44140625" style="87"/>
    <col min="9986" max="9986" width="42.88671875" style="87" customWidth="1"/>
    <col min="9987" max="9987" width="16.44140625" style="87" customWidth="1"/>
    <col min="9988" max="9988" width="16.109375" style="87" customWidth="1"/>
    <col min="9989" max="9989" width="5.6640625" style="87" bestFit="1" customWidth="1"/>
    <col min="9990" max="9990" width="6" style="87" bestFit="1" customWidth="1"/>
    <col min="9991" max="9991" width="8.109375" style="87" customWidth="1"/>
    <col min="9992" max="9992" width="7" style="87" customWidth="1"/>
    <col min="9993" max="9993" width="6.5546875" style="87" customWidth="1"/>
    <col min="9994" max="9994" width="6.44140625" style="87" customWidth="1"/>
    <col min="9995" max="9995" width="5.109375" style="87" customWidth="1"/>
    <col min="9996" max="9996" width="6.33203125" style="87" customWidth="1"/>
    <col min="9997" max="9997" width="7.5546875" style="87" customWidth="1"/>
    <col min="9998" max="9998" width="15.6640625" style="87" bestFit="1" customWidth="1"/>
    <col min="9999" max="10241" width="14.44140625" style="87"/>
    <col min="10242" max="10242" width="42.88671875" style="87" customWidth="1"/>
    <col min="10243" max="10243" width="16.44140625" style="87" customWidth="1"/>
    <col min="10244" max="10244" width="16.109375" style="87" customWidth="1"/>
    <col min="10245" max="10245" width="5.6640625" style="87" bestFit="1" customWidth="1"/>
    <col min="10246" max="10246" width="6" style="87" bestFit="1" customWidth="1"/>
    <col min="10247" max="10247" width="8.109375" style="87" customWidth="1"/>
    <col min="10248" max="10248" width="7" style="87" customWidth="1"/>
    <col min="10249" max="10249" width="6.5546875" style="87" customWidth="1"/>
    <col min="10250" max="10250" width="6.44140625" style="87" customWidth="1"/>
    <col min="10251" max="10251" width="5.109375" style="87" customWidth="1"/>
    <col min="10252" max="10252" width="6.33203125" style="87" customWidth="1"/>
    <col min="10253" max="10253" width="7.5546875" style="87" customWidth="1"/>
    <col min="10254" max="10254" width="15.6640625" style="87" bestFit="1" customWidth="1"/>
    <col min="10255" max="10497" width="14.44140625" style="87"/>
    <col min="10498" max="10498" width="42.88671875" style="87" customWidth="1"/>
    <col min="10499" max="10499" width="16.44140625" style="87" customWidth="1"/>
    <col min="10500" max="10500" width="16.109375" style="87" customWidth="1"/>
    <col min="10501" max="10501" width="5.6640625" style="87" bestFit="1" customWidth="1"/>
    <col min="10502" max="10502" width="6" style="87" bestFit="1" customWidth="1"/>
    <col min="10503" max="10503" width="8.109375" style="87" customWidth="1"/>
    <col min="10504" max="10504" width="7" style="87" customWidth="1"/>
    <col min="10505" max="10505" width="6.5546875" style="87" customWidth="1"/>
    <col min="10506" max="10506" width="6.44140625" style="87" customWidth="1"/>
    <col min="10507" max="10507" width="5.109375" style="87" customWidth="1"/>
    <col min="10508" max="10508" width="6.33203125" style="87" customWidth="1"/>
    <col min="10509" max="10509" width="7.5546875" style="87" customWidth="1"/>
    <col min="10510" max="10510" width="15.6640625" style="87" bestFit="1" customWidth="1"/>
    <col min="10511" max="10753" width="14.44140625" style="87"/>
    <col min="10754" max="10754" width="42.88671875" style="87" customWidth="1"/>
    <col min="10755" max="10755" width="16.44140625" style="87" customWidth="1"/>
    <col min="10756" max="10756" width="16.109375" style="87" customWidth="1"/>
    <col min="10757" max="10757" width="5.6640625" style="87" bestFit="1" customWidth="1"/>
    <col min="10758" max="10758" width="6" style="87" bestFit="1" customWidth="1"/>
    <col min="10759" max="10759" width="8.109375" style="87" customWidth="1"/>
    <col min="10760" max="10760" width="7" style="87" customWidth="1"/>
    <col min="10761" max="10761" width="6.5546875" style="87" customWidth="1"/>
    <col min="10762" max="10762" width="6.44140625" style="87" customWidth="1"/>
    <col min="10763" max="10763" width="5.109375" style="87" customWidth="1"/>
    <col min="10764" max="10764" width="6.33203125" style="87" customWidth="1"/>
    <col min="10765" max="10765" width="7.5546875" style="87" customWidth="1"/>
    <col min="10766" max="10766" width="15.6640625" style="87" bestFit="1" customWidth="1"/>
    <col min="10767" max="11009" width="14.44140625" style="87"/>
    <col min="11010" max="11010" width="42.88671875" style="87" customWidth="1"/>
    <col min="11011" max="11011" width="16.44140625" style="87" customWidth="1"/>
    <col min="11012" max="11012" width="16.109375" style="87" customWidth="1"/>
    <col min="11013" max="11013" width="5.6640625" style="87" bestFit="1" customWidth="1"/>
    <col min="11014" max="11014" width="6" style="87" bestFit="1" customWidth="1"/>
    <col min="11015" max="11015" width="8.109375" style="87" customWidth="1"/>
    <col min="11016" max="11016" width="7" style="87" customWidth="1"/>
    <col min="11017" max="11017" width="6.5546875" style="87" customWidth="1"/>
    <col min="11018" max="11018" width="6.44140625" style="87" customWidth="1"/>
    <col min="11019" max="11019" width="5.109375" style="87" customWidth="1"/>
    <col min="11020" max="11020" width="6.33203125" style="87" customWidth="1"/>
    <col min="11021" max="11021" width="7.5546875" style="87" customWidth="1"/>
    <col min="11022" max="11022" width="15.6640625" style="87" bestFit="1" customWidth="1"/>
    <col min="11023" max="11265" width="14.44140625" style="87"/>
    <col min="11266" max="11266" width="42.88671875" style="87" customWidth="1"/>
    <col min="11267" max="11267" width="16.44140625" style="87" customWidth="1"/>
    <col min="11268" max="11268" width="16.109375" style="87" customWidth="1"/>
    <col min="11269" max="11269" width="5.6640625" style="87" bestFit="1" customWidth="1"/>
    <col min="11270" max="11270" width="6" style="87" bestFit="1" customWidth="1"/>
    <col min="11271" max="11271" width="8.109375" style="87" customWidth="1"/>
    <col min="11272" max="11272" width="7" style="87" customWidth="1"/>
    <col min="11273" max="11273" width="6.5546875" style="87" customWidth="1"/>
    <col min="11274" max="11274" width="6.44140625" style="87" customWidth="1"/>
    <col min="11275" max="11275" width="5.109375" style="87" customWidth="1"/>
    <col min="11276" max="11276" width="6.33203125" style="87" customWidth="1"/>
    <col min="11277" max="11277" width="7.5546875" style="87" customWidth="1"/>
    <col min="11278" max="11278" width="15.6640625" style="87" bestFit="1" customWidth="1"/>
    <col min="11279" max="11521" width="14.44140625" style="87"/>
    <col min="11522" max="11522" width="42.88671875" style="87" customWidth="1"/>
    <col min="11523" max="11523" width="16.44140625" style="87" customWidth="1"/>
    <col min="11524" max="11524" width="16.109375" style="87" customWidth="1"/>
    <col min="11525" max="11525" width="5.6640625" style="87" bestFit="1" customWidth="1"/>
    <col min="11526" max="11526" width="6" style="87" bestFit="1" customWidth="1"/>
    <col min="11527" max="11527" width="8.109375" style="87" customWidth="1"/>
    <col min="11528" max="11528" width="7" style="87" customWidth="1"/>
    <col min="11529" max="11529" width="6.5546875" style="87" customWidth="1"/>
    <col min="11530" max="11530" width="6.44140625" style="87" customWidth="1"/>
    <col min="11531" max="11531" width="5.109375" style="87" customWidth="1"/>
    <col min="11532" max="11532" width="6.33203125" style="87" customWidth="1"/>
    <col min="11533" max="11533" width="7.5546875" style="87" customWidth="1"/>
    <col min="11534" max="11534" width="15.6640625" style="87" bestFit="1" customWidth="1"/>
    <col min="11535" max="11777" width="14.44140625" style="87"/>
    <col min="11778" max="11778" width="42.88671875" style="87" customWidth="1"/>
    <col min="11779" max="11779" width="16.44140625" style="87" customWidth="1"/>
    <col min="11780" max="11780" width="16.109375" style="87" customWidth="1"/>
    <col min="11781" max="11781" width="5.6640625" style="87" bestFit="1" customWidth="1"/>
    <col min="11782" max="11782" width="6" style="87" bestFit="1" customWidth="1"/>
    <col min="11783" max="11783" width="8.109375" style="87" customWidth="1"/>
    <col min="11784" max="11784" width="7" style="87" customWidth="1"/>
    <col min="11785" max="11785" width="6.5546875" style="87" customWidth="1"/>
    <col min="11786" max="11786" width="6.44140625" style="87" customWidth="1"/>
    <col min="11787" max="11787" width="5.109375" style="87" customWidth="1"/>
    <col min="11788" max="11788" width="6.33203125" style="87" customWidth="1"/>
    <col min="11789" max="11789" width="7.5546875" style="87" customWidth="1"/>
    <col min="11790" max="11790" width="15.6640625" style="87" bestFit="1" customWidth="1"/>
    <col min="11791" max="12033" width="14.44140625" style="87"/>
    <col min="12034" max="12034" width="42.88671875" style="87" customWidth="1"/>
    <col min="12035" max="12035" width="16.44140625" style="87" customWidth="1"/>
    <col min="12036" max="12036" width="16.109375" style="87" customWidth="1"/>
    <col min="12037" max="12037" width="5.6640625" style="87" bestFit="1" customWidth="1"/>
    <col min="12038" max="12038" width="6" style="87" bestFit="1" customWidth="1"/>
    <col min="12039" max="12039" width="8.109375" style="87" customWidth="1"/>
    <col min="12040" max="12040" width="7" style="87" customWidth="1"/>
    <col min="12041" max="12041" width="6.5546875" style="87" customWidth="1"/>
    <col min="12042" max="12042" width="6.44140625" style="87" customWidth="1"/>
    <col min="12043" max="12043" width="5.109375" style="87" customWidth="1"/>
    <col min="12044" max="12044" width="6.33203125" style="87" customWidth="1"/>
    <col min="12045" max="12045" width="7.5546875" style="87" customWidth="1"/>
    <col min="12046" max="12046" width="15.6640625" style="87" bestFit="1" customWidth="1"/>
    <col min="12047" max="12289" width="14.44140625" style="87"/>
    <col min="12290" max="12290" width="42.88671875" style="87" customWidth="1"/>
    <col min="12291" max="12291" width="16.44140625" style="87" customWidth="1"/>
    <col min="12292" max="12292" width="16.109375" style="87" customWidth="1"/>
    <col min="12293" max="12293" width="5.6640625" style="87" bestFit="1" customWidth="1"/>
    <col min="12294" max="12294" width="6" style="87" bestFit="1" customWidth="1"/>
    <col min="12295" max="12295" width="8.109375" style="87" customWidth="1"/>
    <col min="12296" max="12296" width="7" style="87" customWidth="1"/>
    <col min="12297" max="12297" width="6.5546875" style="87" customWidth="1"/>
    <col min="12298" max="12298" width="6.44140625" style="87" customWidth="1"/>
    <col min="12299" max="12299" width="5.109375" style="87" customWidth="1"/>
    <col min="12300" max="12300" width="6.33203125" style="87" customWidth="1"/>
    <col min="12301" max="12301" width="7.5546875" style="87" customWidth="1"/>
    <col min="12302" max="12302" width="15.6640625" style="87" bestFit="1" customWidth="1"/>
    <col min="12303" max="12545" width="14.44140625" style="87"/>
    <col min="12546" max="12546" width="42.88671875" style="87" customWidth="1"/>
    <col min="12547" max="12547" width="16.44140625" style="87" customWidth="1"/>
    <col min="12548" max="12548" width="16.109375" style="87" customWidth="1"/>
    <col min="12549" max="12549" width="5.6640625" style="87" bestFit="1" customWidth="1"/>
    <col min="12550" max="12550" width="6" style="87" bestFit="1" customWidth="1"/>
    <col min="12551" max="12551" width="8.109375" style="87" customWidth="1"/>
    <col min="12552" max="12552" width="7" style="87" customWidth="1"/>
    <col min="12553" max="12553" width="6.5546875" style="87" customWidth="1"/>
    <col min="12554" max="12554" width="6.44140625" style="87" customWidth="1"/>
    <col min="12555" max="12555" width="5.109375" style="87" customWidth="1"/>
    <col min="12556" max="12556" width="6.33203125" style="87" customWidth="1"/>
    <col min="12557" max="12557" width="7.5546875" style="87" customWidth="1"/>
    <col min="12558" max="12558" width="15.6640625" style="87" bestFit="1" customWidth="1"/>
    <col min="12559" max="12801" width="14.44140625" style="87"/>
    <col min="12802" max="12802" width="42.88671875" style="87" customWidth="1"/>
    <col min="12803" max="12803" width="16.44140625" style="87" customWidth="1"/>
    <col min="12804" max="12804" width="16.109375" style="87" customWidth="1"/>
    <col min="12805" max="12805" width="5.6640625" style="87" bestFit="1" customWidth="1"/>
    <col min="12806" max="12806" width="6" style="87" bestFit="1" customWidth="1"/>
    <col min="12807" max="12807" width="8.109375" style="87" customWidth="1"/>
    <col min="12808" max="12808" width="7" style="87" customWidth="1"/>
    <col min="12809" max="12809" width="6.5546875" style="87" customWidth="1"/>
    <col min="12810" max="12810" width="6.44140625" style="87" customWidth="1"/>
    <col min="12811" max="12811" width="5.109375" style="87" customWidth="1"/>
    <col min="12812" max="12812" width="6.33203125" style="87" customWidth="1"/>
    <col min="12813" max="12813" width="7.5546875" style="87" customWidth="1"/>
    <col min="12814" max="12814" width="15.6640625" style="87" bestFit="1" customWidth="1"/>
    <col min="12815" max="13057" width="14.44140625" style="87"/>
    <col min="13058" max="13058" width="42.88671875" style="87" customWidth="1"/>
    <col min="13059" max="13059" width="16.44140625" style="87" customWidth="1"/>
    <col min="13060" max="13060" width="16.109375" style="87" customWidth="1"/>
    <col min="13061" max="13061" width="5.6640625" style="87" bestFit="1" customWidth="1"/>
    <col min="13062" max="13062" width="6" style="87" bestFit="1" customWidth="1"/>
    <col min="13063" max="13063" width="8.109375" style="87" customWidth="1"/>
    <col min="13064" max="13064" width="7" style="87" customWidth="1"/>
    <col min="13065" max="13065" width="6.5546875" style="87" customWidth="1"/>
    <col min="13066" max="13066" width="6.44140625" style="87" customWidth="1"/>
    <col min="13067" max="13067" width="5.109375" style="87" customWidth="1"/>
    <col min="13068" max="13068" width="6.33203125" style="87" customWidth="1"/>
    <col min="13069" max="13069" width="7.5546875" style="87" customWidth="1"/>
    <col min="13070" max="13070" width="15.6640625" style="87" bestFit="1" customWidth="1"/>
    <col min="13071" max="13313" width="14.44140625" style="87"/>
    <col min="13314" max="13314" width="42.88671875" style="87" customWidth="1"/>
    <col min="13315" max="13315" width="16.44140625" style="87" customWidth="1"/>
    <col min="13316" max="13316" width="16.109375" style="87" customWidth="1"/>
    <col min="13317" max="13317" width="5.6640625" style="87" bestFit="1" customWidth="1"/>
    <col min="13318" max="13318" width="6" style="87" bestFit="1" customWidth="1"/>
    <col min="13319" max="13319" width="8.109375" style="87" customWidth="1"/>
    <col min="13320" max="13320" width="7" style="87" customWidth="1"/>
    <col min="13321" max="13321" width="6.5546875" style="87" customWidth="1"/>
    <col min="13322" max="13322" width="6.44140625" style="87" customWidth="1"/>
    <col min="13323" max="13323" width="5.109375" style="87" customWidth="1"/>
    <col min="13324" max="13324" width="6.33203125" style="87" customWidth="1"/>
    <col min="13325" max="13325" width="7.5546875" style="87" customWidth="1"/>
    <col min="13326" max="13326" width="15.6640625" style="87" bestFit="1" customWidth="1"/>
    <col min="13327" max="13569" width="14.44140625" style="87"/>
    <col min="13570" max="13570" width="42.88671875" style="87" customWidth="1"/>
    <col min="13571" max="13571" width="16.44140625" style="87" customWidth="1"/>
    <col min="13572" max="13572" width="16.109375" style="87" customWidth="1"/>
    <col min="13573" max="13573" width="5.6640625" style="87" bestFit="1" customWidth="1"/>
    <col min="13574" max="13574" width="6" style="87" bestFit="1" customWidth="1"/>
    <col min="13575" max="13575" width="8.109375" style="87" customWidth="1"/>
    <col min="13576" max="13576" width="7" style="87" customWidth="1"/>
    <col min="13577" max="13577" width="6.5546875" style="87" customWidth="1"/>
    <col min="13578" max="13578" width="6.44140625" style="87" customWidth="1"/>
    <col min="13579" max="13579" width="5.109375" style="87" customWidth="1"/>
    <col min="13580" max="13580" width="6.33203125" style="87" customWidth="1"/>
    <col min="13581" max="13581" width="7.5546875" style="87" customWidth="1"/>
    <col min="13582" max="13582" width="15.6640625" style="87" bestFit="1" customWidth="1"/>
    <col min="13583" max="13825" width="14.44140625" style="87"/>
    <col min="13826" max="13826" width="42.88671875" style="87" customWidth="1"/>
    <col min="13827" max="13827" width="16.44140625" style="87" customWidth="1"/>
    <col min="13828" max="13828" width="16.109375" style="87" customWidth="1"/>
    <col min="13829" max="13829" width="5.6640625" style="87" bestFit="1" customWidth="1"/>
    <col min="13830" max="13830" width="6" style="87" bestFit="1" customWidth="1"/>
    <col min="13831" max="13831" width="8.109375" style="87" customWidth="1"/>
    <col min="13832" max="13832" width="7" style="87" customWidth="1"/>
    <col min="13833" max="13833" width="6.5546875" style="87" customWidth="1"/>
    <col min="13834" max="13834" width="6.44140625" style="87" customWidth="1"/>
    <col min="13835" max="13835" width="5.109375" style="87" customWidth="1"/>
    <col min="13836" max="13836" width="6.33203125" style="87" customWidth="1"/>
    <col min="13837" max="13837" width="7.5546875" style="87" customWidth="1"/>
    <col min="13838" max="13838" width="15.6640625" style="87" bestFit="1" customWidth="1"/>
    <col min="13839" max="14081" width="14.44140625" style="87"/>
    <col min="14082" max="14082" width="42.88671875" style="87" customWidth="1"/>
    <col min="14083" max="14083" width="16.44140625" style="87" customWidth="1"/>
    <col min="14084" max="14084" width="16.109375" style="87" customWidth="1"/>
    <col min="14085" max="14085" width="5.6640625" style="87" bestFit="1" customWidth="1"/>
    <col min="14086" max="14086" width="6" style="87" bestFit="1" customWidth="1"/>
    <col min="14087" max="14087" width="8.109375" style="87" customWidth="1"/>
    <col min="14088" max="14088" width="7" style="87" customWidth="1"/>
    <col min="14089" max="14089" width="6.5546875" style="87" customWidth="1"/>
    <col min="14090" max="14090" width="6.44140625" style="87" customWidth="1"/>
    <col min="14091" max="14091" width="5.109375" style="87" customWidth="1"/>
    <col min="14092" max="14092" width="6.33203125" style="87" customWidth="1"/>
    <col min="14093" max="14093" width="7.5546875" style="87" customWidth="1"/>
    <col min="14094" max="14094" width="15.6640625" style="87" bestFit="1" customWidth="1"/>
    <col min="14095" max="14337" width="14.44140625" style="87"/>
    <col min="14338" max="14338" width="42.88671875" style="87" customWidth="1"/>
    <col min="14339" max="14339" width="16.44140625" style="87" customWidth="1"/>
    <col min="14340" max="14340" width="16.109375" style="87" customWidth="1"/>
    <col min="14341" max="14341" width="5.6640625" style="87" bestFit="1" customWidth="1"/>
    <col min="14342" max="14342" width="6" style="87" bestFit="1" customWidth="1"/>
    <col min="14343" max="14343" width="8.109375" style="87" customWidth="1"/>
    <col min="14344" max="14344" width="7" style="87" customWidth="1"/>
    <col min="14345" max="14345" width="6.5546875" style="87" customWidth="1"/>
    <col min="14346" max="14346" width="6.44140625" style="87" customWidth="1"/>
    <col min="14347" max="14347" width="5.109375" style="87" customWidth="1"/>
    <col min="14348" max="14348" width="6.33203125" style="87" customWidth="1"/>
    <col min="14349" max="14349" width="7.5546875" style="87" customWidth="1"/>
    <col min="14350" max="14350" width="15.6640625" style="87" bestFit="1" customWidth="1"/>
    <col min="14351" max="14593" width="14.44140625" style="87"/>
    <col min="14594" max="14594" width="42.88671875" style="87" customWidth="1"/>
    <col min="14595" max="14595" width="16.44140625" style="87" customWidth="1"/>
    <col min="14596" max="14596" width="16.109375" style="87" customWidth="1"/>
    <col min="14597" max="14597" width="5.6640625" style="87" bestFit="1" customWidth="1"/>
    <col min="14598" max="14598" width="6" style="87" bestFit="1" customWidth="1"/>
    <col min="14599" max="14599" width="8.109375" style="87" customWidth="1"/>
    <col min="14600" max="14600" width="7" style="87" customWidth="1"/>
    <col min="14601" max="14601" width="6.5546875" style="87" customWidth="1"/>
    <col min="14602" max="14602" width="6.44140625" style="87" customWidth="1"/>
    <col min="14603" max="14603" width="5.109375" style="87" customWidth="1"/>
    <col min="14604" max="14604" width="6.33203125" style="87" customWidth="1"/>
    <col min="14605" max="14605" width="7.5546875" style="87" customWidth="1"/>
    <col min="14606" max="14606" width="15.6640625" style="87" bestFit="1" customWidth="1"/>
    <col min="14607" max="14849" width="14.44140625" style="87"/>
    <col min="14850" max="14850" width="42.88671875" style="87" customWidth="1"/>
    <col min="14851" max="14851" width="16.44140625" style="87" customWidth="1"/>
    <col min="14852" max="14852" width="16.109375" style="87" customWidth="1"/>
    <col min="14853" max="14853" width="5.6640625" style="87" bestFit="1" customWidth="1"/>
    <col min="14854" max="14854" width="6" style="87" bestFit="1" customWidth="1"/>
    <col min="14855" max="14855" width="8.109375" style="87" customWidth="1"/>
    <col min="14856" max="14856" width="7" style="87" customWidth="1"/>
    <col min="14857" max="14857" width="6.5546875" style="87" customWidth="1"/>
    <col min="14858" max="14858" width="6.44140625" style="87" customWidth="1"/>
    <col min="14859" max="14859" width="5.109375" style="87" customWidth="1"/>
    <col min="14860" max="14860" width="6.33203125" style="87" customWidth="1"/>
    <col min="14861" max="14861" width="7.5546875" style="87" customWidth="1"/>
    <col min="14862" max="14862" width="15.6640625" style="87" bestFit="1" customWidth="1"/>
    <col min="14863" max="15105" width="14.44140625" style="87"/>
    <col min="15106" max="15106" width="42.88671875" style="87" customWidth="1"/>
    <col min="15107" max="15107" width="16.44140625" style="87" customWidth="1"/>
    <col min="15108" max="15108" width="16.109375" style="87" customWidth="1"/>
    <col min="15109" max="15109" width="5.6640625" style="87" bestFit="1" customWidth="1"/>
    <col min="15110" max="15110" width="6" style="87" bestFit="1" customWidth="1"/>
    <col min="15111" max="15111" width="8.109375" style="87" customWidth="1"/>
    <col min="15112" max="15112" width="7" style="87" customWidth="1"/>
    <col min="15113" max="15113" width="6.5546875" style="87" customWidth="1"/>
    <col min="15114" max="15114" width="6.44140625" style="87" customWidth="1"/>
    <col min="15115" max="15115" width="5.109375" style="87" customWidth="1"/>
    <col min="15116" max="15116" width="6.33203125" style="87" customWidth="1"/>
    <col min="15117" max="15117" width="7.5546875" style="87" customWidth="1"/>
    <col min="15118" max="15118" width="15.6640625" style="87" bestFit="1" customWidth="1"/>
    <col min="15119" max="15361" width="14.44140625" style="87"/>
    <col min="15362" max="15362" width="42.88671875" style="87" customWidth="1"/>
    <col min="15363" max="15363" width="16.44140625" style="87" customWidth="1"/>
    <col min="15364" max="15364" width="16.109375" style="87" customWidth="1"/>
    <col min="15365" max="15365" width="5.6640625" style="87" bestFit="1" customWidth="1"/>
    <col min="15366" max="15366" width="6" style="87" bestFit="1" customWidth="1"/>
    <col min="15367" max="15367" width="8.109375" style="87" customWidth="1"/>
    <col min="15368" max="15368" width="7" style="87" customWidth="1"/>
    <col min="15369" max="15369" width="6.5546875" style="87" customWidth="1"/>
    <col min="15370" max="15370" width="6.44140625" style="87" customWidth="1"/>
    <col min="15371" max="15371" width="5.109375" style="87" customWidth="1"/>
    <col min="15372" max="15372" width="6.33203125" style="87" customWidth="1"/>
    <col min="15373" max="15373" width="7.5546875" style="87" customWidth="1"/>
    <col min="15374" max="15374" width="15.6640625" style="87" bestFit="1" customWidth="1"/>
    <col min="15375" max="15617" width="14.44140625" style="87"/>
    <col min="15618" max="15618" width="42.88671875" style="87" customWidth="1"/>
    <col min="15619" max="15619" width="16.44140625" style="87" customWidth="1"/>
    <col min="15620" max="15620" width="16.109375" style="87" customWidth="1"/>
    <col min="15621" max="15621" width="5.6640625" style="87" bestFit="1" customWidth="1"/>
    <col min="15622" max="15622" width="6" style="87" bestFit="1" customWidth="1"/>
    <col min="15623" max="15623" width="8.109375" style="87" customWidth="1"/>
    <col min="15624" max="15624" width="7" style="87" customWidth="1"/>
    <col min="15625" max="15625" width="6.5546875" style="87" customWidth="1"/>
    <col min="15626" max="15626" width="6.44140625" style="87" customWidth="1"/>
    <col min="15627" max="15627" width="5.109375" style="87" customWidth="1"/>
    <col min="15628" max="15628" width="6.33203125" style="87" customWidth="1"/>
    <col min="15629" max="15629" width="7.5546875" style="87" customWidth="1"/>
    <col min="15630" max="15630" width="15.6640625" style="87" bestFit="1" customWidth="1"/>
    <col min="15631" max="15873" width="14.44140625" style="87"/>
    <col min="15874" max="15874" width="42.88671875" style="87" customWidth="1"/>
    <col min="15875" max="15875" width="16.44140625" style="87" customWidth="1"/>
    <col min="15876" max="15876" width="16.109375" style="87" customWidth="1"/>
    <col min="15877" max="15877" width="5.6640625" style="87" bestFit="1" customWidth="1"/>
    <col min="15878" max="15878" width="6" style="87" bestFit="1" customWidth="1"/>
    <col min="15879" max="15879" width="8.109375" style="87" customWidth="1"/>
    <col min="15880" max="15880" width="7" style="87" customWidth="1"/>
    <col min="15881" max="15881" width="6.5546875" style="87" customWidth="1"/>
    <col min="15882" max="15882" width="6.44140625" style="87" customWidth="1"/>
    <col min="15883" max="15883" width="5.109375" style="87" customWidth="1"/>
    <col min="15884" max="15884" width="6.33203125" style="87" customWidth="1"/>
    <col min="15885" max="15885" width="7.5546875" style="87" customWidth="1"/>
    <col min="15886" max="15886" width="15.6640625" style="87" bestFit="1" customWidth="1"/>
    <col min="15887" max="16129" width="14.44140625" style="87"/>
    <col min="16130" max="16130" width="42.88671875" style="87" customWidth="1"/>
    <col min="16131" max="16131" width="16.44140625" style="87" customWidth="1"/>
    <col min="16132" max="16132" width="16.109375" style="87" customWidth="1"/>
    <col min="16133" max="16133" width="5.6640625" style="87" bestFit="1" customWidth="1"/>
    <col min="16134" max="16134" width="6" style="87" bestFit="1" customWidth="1"/>
    <col min="16135" max="16135" width="8.109375" style="87" customWidth="1"/>
    <col min="16136" max="16136" width="7" style="87" customWidth="1"/>
    <col min="16137" max="16137" width="6.5546875" style="87" customWidth="1"/>
    <col min="16138" max="16138" width="6.44140625" style="87" customWidth="1"/>
    <col min="16139" max="16139" width="5.109375" style="87" customWidth="1"/>
    <col min="16140" max="16140" width="6.33203125" style="87" customWidth="1"/>
    <col min="16141" max="16141" width="7.5546875" style="87" customWidth="1"/>
    <col min="16142" max="16142" width="15.6640625" style="87" bestFit="1" customWidth="1"/>
    <col min="16143" max="16384" width="14.44140625" style="87"/>
  </cols>
  <sheetData>
    <row r="2" spans="1:18">
      <c r="C2" s="104" t="s">
        <v>183</v>
      </c>
    </row>
    <row r="3" spans="1:18">
      <c r="C3" s="87" t="s">
        <v>225</v>
      </c>
    </row>
    <row r="4" spans="1:18">
      <c r="C4" s="17" t="s">
        <v>221</v>
      </c>
    </row>
    <row r="5" spans="1:18">
      <c r="C5" s="147" t="s">
        <v>220</v>
      </c>
    </row>
    <row r="7" spans="1:18" s="85" customFormat="1">
      <c r="A7" s="84" t="s">
        <v>163</v>
      </c>
      <c r="B7" s="84" t="s">
        <v>7</v>
      </c>
      <c r="C7" s="84" t="s">
        <v>78</v>
      </c>
      <c r="D7" s="84" t="s">
        <v>164</v>
      </c>
      <c r="E7" s="84"/>
      <c r="G7" s="106" t="s">
        <v>131</v>
      </c>
    </row>
    <row r="8" spans="1:18">
      <c r="A8" s="86" t="s">
        <v>144</v>
      </c>
      <c r="B8" s="86"/>
      <c r="C8" s="149" t="s">
        <v>231</v>
      </c>
      <c r="F8" s="87" t="s">
        <v>232</v>
      </c>
    </row>
    <row r="9" spans="1:18" s="88" customFormat="1">
      <c r="B9" s="88" t="s">
        <v>165</v>
      </c>
      <c r="C9" s="89" t="s">
        <v>12</v>
      </c>
      <c r="D9" s="89" t="s">
        <v>146</v>
      </c>
      <c r="E9" s="89" t="s">
        <v>147</v>
      </c>
      <c r="F9" s="89" t="s">
        <v>148</v>
      </c>
      <c r="G9" s="89" t="s">
        <v>149</v>
      </c>
      <c r="H9" s="89" t="s">
        <v>150</v>
      </c>
      <c r="I9" s="89" t="s">
        <v>151</v>
      </c>
      <c r="J9" s="89" t="s">
        <v>152</v>
      </c>
      <c r="K9" s="89" t="s">
        <v>153</v>
      </c>
      <c r="L9" s="89" t="s">
        <v>154</v>
      </c>
      <c r="M9" s="89" t="s">
        <v>155</v>
      </c>
      <c r="N9" s="89" t="s">
        <v>156</v>
      </c>
      <c r="O9" s="89" t="s">
        <v>157</v>
      </c>
      <c r="P9" s="89" t="s">
        <v>158</v>
      </c>
      <c r="Q9" s="89" t="s">
        <v>159</v>
      </c>
    </row>
    <row r="10" spans="1:18" s="90" customFormat="1">
      <c r="A10" s="90" t="s">
        <v>166</v>
      </c>
      <c r="C10" s="90">
        <v>74815149</v>
      </c>
      <c r="D10" s="90">
        <f>SUM(F10:Q10)</f>
        <v>87481514</v>
      </c>
      <c r="E10" s="91">
        <f>IFERROR(D10/C10,"")</f>
        <v>1.1693021422706784</v>
      </c>
      <c r="O10" s="90">
        <v>43740757</v>
      </c>
      <c r="P10" s="90">
        <f>O10</f>
        <v>43740757</v>
      </c>
    </row>
    <row r="11" spans="1:18">
      <c r="A11" s="92"/>
      <c r="B11" s="92"/>
      <c r="C11" s="92"/>
      <c r="D11" s="92"/>
      <c r="E11" s="92"/>
    </row>
    <row r="12" spans="1:18" s="104" customFormat="1">
      <c r="A12" s="150" t="s">
        <v>160</v>
      </c>
      <c r="B12" s="150"/>
      <c r="C12" s="151"/>
      <c r="D12" s="152">
        <f t="shared" ref="D12:D19" si="0">SUM(F12:Q12)</f>
        <v>0</v>
      </c>
      <c r="E12" s="153" t="str">
        <f t="shared" ref="E12:E23" si="1">IFERROR(D12/C12,"")</f>
        <v/>
      </c>
      <c r="F12" s="154"/>
    </row>
    <row r="13" spans="1:18">
      <c r="A13" s="155" t="s">
        <v>226</v>
      </c>
      <c r="B13" s="93"/>
      <c r="C13" s="92">
        <v>269102469</v>
      </c>
      <c r="D13" s="94">
        <f>SUM(F13:Q13)</f>
        <v>469102469</v>
      </c>
      <c r="E13" s="95">
        <f t="shared" si="1"/>
        <v>1.7432113155379485</v>
      </c>
      <c r="F13" s="96"/>
      <c r="G13" s="87">
        <v>200000000</v>
      </c>
      <c r="N13" s="87">
        <v>22000000</v>
      </c>
      <c r="O13" s="87">
        <v>17598000</v>
      </c>
      <c r="P13" s="87">
        <f>247102469-O13</f>
        <v>229504469</v>
      </c>
      <c r="R13" s="87" t="s">
        <v>257</v>
      </c>
    </row>
    <row r="14" spans="1:18">
      <c r="A14" s="155" t="s">
        <v>227</v>
      </c>
      <c r="B14" s="93"/>
      <c r="C14" s="92">
        <v>241811000</v>
      </c>
      <c r="D14" s="94">
        <f t="shared" si="0"/>
        <v>241811000</v>
      </c>
      <c r="E14" s="95">
        <f>IFERROR(D14/C14,"")</f>
        <v>1</v>
      </c>
      <c r="F14" s="96"/>
      <c r="N14" s="87">
        <v>97715409</v>
      </c>
      <c r="O14" s="87">
        <v>104816915</v>
      </c>
      <c r="P14" s="87">
        <f>144095591-O14</f>
        <v>39278676</v>
      </c>
    </row>
    <row r="15" spans="1:18">
      <c r="A15" s="155" t="s">
        <v>228</v>
      </c>
      <c r="B15" s="93"/>
      <c r="C15" s="92"/>
      <c r="D15" s="94">
        <f>SUM(F15:Q15)</f>
        <v>8000000</v>
      </c>
      <c r="E15" s="95" t="str">
        <f>IFERROR(D15/C15,"")</f>
        <v/>
      </c>
      <c r="F15" s="96"/>
      <c r="O15" s="87">
        <v>8000000</v>
      </c>
    </row>
    <row r="16" spans="1:18">
      <c r="A16" s="93"/>
      <c r="B16" s="93"/>
      <c r="C16" s="92"/>
      <c r="D16" s="94">
        <f t="shared" si="0"/>
        <v>0</v>
      </c>
      <c r="E16" s="95" t="str">
        <f>IFERROR(D16/C16,"")</f>
        <v/>
      </c>
      <c r="F16" s="96"/>
    </row>
    <row r="17" spans="1:17">
      <c r="A17" s="93"/>
      <c r="B17" s="93"/>
      <c r="C17" s="92"/>
      <c r="D17" s="94">
        <f t="shared" si="0"/>
        <v>0</v>
      </c>
      <c r="E17" s="95" t="str">
        <f t="shared" si="1"/>
        <v/>
      </c>
      <c r="F17" s="96"/>
    </row>
    <row r="18" spans="1:17">
      <c r="A18" s="93"/>
      <c r="B18" s="93"/>
      <c r="C18" s="92"/>
      <c r="D18" s="94">
        <f t="shared" si="0"/>
        <v>0</v>
      </c>
      <c r="E18" s="95" t="str">
        <f t="shared" si="1"/>
        <v/>
      </c>
      <c r="F18" s="96"/>
    </row>
    <row r="19" spans="1:17" s="149" customFormat="1" ht="15" customHeight="1">
      <c r="A19" s="156" t="s">
        <v>229</v>
      </c>
      <c r="B19" s="156"/>
      <c r="C19" s="157">
        <f>(C10/1.1)*0.1</f>
        <v>6801377.1818181816</v>
      </c>
      <c r="D19" s="158">
        <f t="shared" si="0"/>
        <v>79528649.909090906</v>
      </c>
      <c r="E19" s="159">
        <f t="shared" si="1"/>
        <v>11.693021543003276</v>
      </c>
      <c r="Q19" s="149">
        <v>79528649.909090906</v>
      </c>
    </row>
    <row r="20" spans="1:17" ht="15" customHeight="1">
      <c r="A20" s="93"/>
      <c r="B20" s="93"/>
      <c r="C20" s="97"/>
      <c r="D20" s="94">
        <f>SUM(F20:L20)</f>
        <v>0</v>
      </c>
      <c r="E20" s="95" t="str">
        <f t="shared" si="1"/>
        <v/>
      </c>
    </row>
    <row r="21" spans="1:17">
      <c r="A21" s="98"/>
      <c r="B21" s="98"/>
      <c r="C21" s="97"/>
      <c r="D21" s="94">
        <f>SUM(F21:L21)</f>
        <v>0</v>
      </c>
      <c r="E21" s="95" t="str">
        <f t="shared" si="1"/>
        <v/>
      </c>
    </row>
    <row r="22" spans="1:17" s="162" customFormat="1">
      <c r="A22" s="160" t="s">
        <v>230</v>
      </c>
      <c r="B22" s="160"/>
      <c r="C22" s="160"/>
      <c r="D22" s="157"/>
      <c r="E22" s="161" t="str">
        <f t="shared" si="1"/>
        <v/>
      </c>
    </row>
    <row r="23" spans="1:17" s="102" customFormat="1">
      <c r="A23" s="99" t="s">
        <v>161</v>
      </c>
      <c r="B23" s="99"/>
      <c r="C23" s="100">
        <f>SUM(C11:C21)</f>
        <v>517714846.18181819</v>
      </c>
      <c r="D23" s="100">
        <f>SUM(D11:D21)</f>
        <v>798442118.90909088</v>
      </c>
      <c r="E23" s="101">
        <f t="shared" si="1"/>
        <v>1.5422430413144519</v>
      </c>
      <c r="F23" s="102">
        <f t="shared" ref="F23:Q23" si="2">SUM(F11:F22)</f>
        <v>0</v>
      </c>
      <c r="G23" s="102">
        <f t="shared" si="2"/>
        <v>200000000</v>
      </c>
      <c r="H23" s="102">
        <f t="shared" si="2"/>
        <v>0</v>
      </c>
      <c r="I23" s="102">
        <f t="shared" si="2"/>
        <v>0</v>
      </c>
      <c r="J23" s="102">
        <f t="shared" si="2"/>
        <v>0</v>
      </c>
      <c r="K23" s="102">
        <f t="shared" si="2"/>
        <v>0</v>
      </c>
      <c r="L23" s="102">
        <f t="shared" si="2"/>
        <v>0</v>
      </c>
      <c r="M23" s="102">
        <f t="shared" si="2"/>
        <v>0</v>
      </c>
      <c r="N23" s="102">
        <f t="shared" si="2"/>
        <v>119715409</v>
      </c>
      <c r="O23" s="102">
        <f t="shared" si="2"/>
        <v>130414915</v>
      </c>
      <c r="P23" s="102">
        <f t="shared" si="2"/>
        <v>268783145</v>
      </c>
      <c r="Q23" s="102">
        <f t="shared" si="2"/>
        <v>79528649.909090906</v>
      </c>
    </row>
    <row r="25" spans="1:17" s="102" customFormat="1">
      <c r="A25" s="102" t="s">
        <v>162</v>
      </c>
      <c r="C25" s="102">
        <f>C10-C23</f>
        <v>-442899697.18181819</v>
      </c>
      <c r="D25" s="102">
        <f>D10-D23</f>
        <v>-710960604.90909088</v>
      </c>
      <c r="E25" s="101">
        <f>IFERROR(D25/C25,"")</f>
        <v>1.605240666076204</v>
      </c>
      <c r="F25" s="102">
        <f t="shared" ref="F25:Q25" si="3">F10-F23</f>
        <v>0</v>
      </c>
      <c r="G25" s="102">
        <f t="shared" si="3"/>
        <v>-200000000</v>
      </c>
      <c r="H25" s="102">
        <f t="shared" si="3"/>
        <v>0</v>
      </c>
      <c r="I25" s="102">
        <f t="shared" si="3"/>
        <v>0</v>
      </c>
      <c r="J25" s="102">
        <f t="shared" si="3"/>
        <v>0</v>
      </c>
      <c r="K25" s="102">
        <f t="shared" si="3"/>
        <v>0</v>
      </c>
      <c r="L25" s="102">
        <f t="shared" si="3"/>
        <v>0</v>
      </c>
      <c r="M25" s="102">
        <f t="shared" si="3"/>
        <v>0</v>
      </c>
      <c r="N25" s="102">
        <f t="shared" si="3"/>
        <v>-119715409</v>
      </c>
      <c r="O25" s="102">
        <f t="shared" si="3"/>
        <v>-86674158</v>
      </c>
      <c r="P25" s="102">
        <f t="shared" si="3"/>
        <v>-225042388</v>
      </c>
      <c r="Q25" s="102">
        <f t="shared" si="3"/>
        <v>-79528649.909090906</v>
      </c>
    </row>
    <row r="26" spans="1:17" s="104" customFormat="1">
      <c r="A26" s="103" t="s">
        <v>233</v>
      </c>
      <c r="B26" s="103"/>
      <c r="E26" s="105"/>
      <c r="F26" s="104">
        <f>F25</f>
        <v>0</v>
      </c>
      <c r="G26" s="104">
        <f t="shared" ref="G26:Q26" si="4">F26+G25</f>
        <v>-200000000</v>
      </c>
      <c r="H26" s="104">
        <f t="shared" si="4"/>
        <v>-200000000</v>
      </c>
      <c r="I26" s="104">
        <f t="shared" si="4"/>
        <v>-200000000</v>
      </c>
      <c r="J26" s="104">
        <f t="shared" si="4"/>
        <v>-200000000</v>
      </c>
      <c r="K26" s="104">
        <f t="shared" si="4"/>
        <v>-200000000</v>
      </c>
      <c r="L26" s="104">
        <f t="shared" si="4"/>
        <v>-200000000</v>
      </c>
      <c r="M26" s="104">
        <f t="shared" si="4"/>
        <v>-200000000</v>
      </c>
      <c r="N26" s="104">
        <f t="shared" si="4"/>
        <v>-319715409</v>
      </c>
      <c r="O26" s="104">
        <f t="shared" si="4"/>
        <v>-406389567</v>
      </c>
      <c r="P26" s="104">
        <f t="shared" si="4"/>
        <v>-631431955</v>
      </c>
      <c r="Q26" s="104">
        <f t="shared" si="4"/>
        <v>-710960604.90909088</v>
      </c>
    </row>
  </sheetData>
  <conditionalFormatting sqref="C25:D25 F25:L25">
    <cfRule type="cellIs" dxfId="19" priority="2" operator="lessThan">
      <formula>0</formula>
    </cfRule>
  </conditionalFormatting>
  <conditionalFormatting sqref="C25:D25">
    <cfRule type="cellIs" dxfId="18" priority="1" operator="lessThan">
      <formula>0</formula>
    </cfRule>
  </conditionalFormatting>
  <hyperlinks>
    <hyperlink ref="G7" location="'List of reports'!A1" display="Trở về" xr:uid="{00000000-0004-0000-0600-000000000000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FC29-396F-42C4-A594-D6D9D393BAA2}">
  <dimension ref="A2:R26"/>
  <sheetViews>
    <sheetView workbookViewId="0">
      <selection activeCell="N20" sqref="N20"/>
    </sheetView>
  </sheetViews>
  <sheetFormatPr defaultColWidth="14.44140625" defaultRowHeight="15.6"/>
  <cols>
    <col min="1" max="1" width="35" style="87" customWidth="1"/>
    <col min="2" max="2" width="18.6640625" style="87" customWidth="1"/>
    <col min="3" max="3" width="16.44140625" style="87" customWidth="1"/>
    <col min="4" max="4" width="16.109375" style="87" customWidth="1"/>
    <col min="5" max="5" width="6.5546875" style="87" customWidth="1"/>
    <col min="6" max="6" width="6" style="87" bestFit="1" customWidth="1"/>
    <col min="7" max="7" width="14.6640625" style="87" bestFit="1" customWidth="1"/>
    <col min="8" max="8" width="7" style="87" customWidth="1"/>
    <col min="9" max="9" width="6.5546875" style="87" customWidth="1"/>
    <col min="10" max="10" width="6.44140625" style="87" customWidth="1"/>
    <col min="11" max="11" width="5.109375" style="87" customWidth="1"/>
    <col min="12" max="12" width="6.33203125" style="87" customWidth="1"/>
    <col min="13" max="13" width="7.5546875" style="87" customWidth="1"/>
    <col min="14" max="14" width="15.6640625" style="87" bestFit="1" customWidth="1"/>
    <col min="15" max="257" width="14.44140625" style="87"/>
    <col min="258" max="258" width="42.88671875" style="87" customWidth="1"/>
    <col min="259" max="259" width="16.44140625" style="87" customWidth="1"/>
    <col min="260" max="260" width="16.109375" style="87" customWidth="1"/>
    <col min="261" max="261" width="5.6640625" style="87" bestFit="1" customWidth="1"/>
    <col min="262" max="262" width="6" style="87" bestFit="1" customWidth="1"/>
    <col min="263" max="263" width="8.109375" style="87" customWidth="1"/>
    <col min="264" max="264" width="7" style="87" customWidth="1"/>
    <col min="265" max="265" width="6.5546875" style="87" customWidth="1"/>
    <col min="266" max="266" width="6.44140625" style="87" customWidth="1"/>
    <col min="267" max="267" width="5.109375" style="87" customWidth="1"/>
    <col min="268" max="268" width="6.33203125" style="87" customWidth="1"/>
    <col min="269" max="269" width="7.5546875" style="87" customWidth="1"/>
    <col min="270" max="270" width="15.6640625" style="87" bestFit="1" customWidth="1"/>
    <col min="271" max="513" width="14.44140625" style="87"/>
    <col min="514" max="514" width="42.88671875" style="87" customWidth="1"/>
    <col min="515" max="515" width="16.44140625" style="87" customWidth="1"/>
    <col min="516" max="516" width="16.109375" style="87" customWidth="1"/>
    <col min="517" max="517" width="5.6640625" style="87" bestFit="1" customWidth="1"/>
    <col min="518" max="518" width="6" style="87" bestFit="1" customWidth="1"/>
    <col min="519" max="519" width="8.109375" style="87" customWidth="1"/>
    <col min="520" max="520" width="7" style="87" customWidth="1"/>
    <col min="521" max="521" width="6.5546875" style="87" customWidth="1"/>
    <col min="522" max="522" width="6.44140625" style="87" customWidth="1"/>
    <col min="523" max="523" width="5.109375" style="87" customWidth="1"/>
    <col min="524" max="524" width="6.33203125" style="87" customWidth="1"/>
    <col min="525" max="525" width="7.5546875" style="87" customWidth="1"/>
    <col min="526" max="526" width="15.6640625" style="87" bestFit="1" customWidth="1"/>
    <col min="527" max="769" width="14.44140625" style="87"/>
    <col min="770" max="770" width="42.88671875" style="87" customWidth="1"/>
    <col min="771" max="771" width="16.44140625" style="87" customWidth="1"/>
    <col min="772" max="772" width="16.109375" style="87" customWidth="1"/>
    <col min="773" max="773" width="5.6640625" style="87" bestFit="1" customWidth="1"/>
    <col min="774" max="774" width="6" style="87" bestFit="1" customWidth="1"/>
    <col min="775" max="775" width="8.109375" style="87" customWidth="1"/>
    <col min="776" max="776" width="7" style="87" customWidth="1"/>
    <col min="777" max="777" width="6.5546875" style="87" customWidth="1"/>
    <col min="778" max="778" width="6.44140625" style="87" customWidth="1"/>
    <col min="779" max="779" width="5.109375" style="87" customWidth="1"/>
    <col min="780" max="780" width="6.33203125" style="87" customWidth="1"/>
    <col min="781" max="781" width="7.5546875" style="87" customWidth="1"/>
    <col min="782" max="782" width="15.6640625" style="87" bestFit="1" customWidth="1"/>
    <col min="783" max="1025" width="14.44140625" style="87"/>
    <col min="1026" max="1026" width="42.88671875" style="87" customWidth="1"/>
    <col min="1027" max="1027" width="16.44140625" style="87" customWidth="1"/>
    <col min="1028" max="1028" width="16.109375" style="87" customWidth="1"/>
    <col min="1029" max="1029" width="5.6640625" style="87" bestFit="1" customWidth="1"/>
    <col min="1030" max="1030" width="6" style="87" bestFit="1" customWidth="1"/>
    <col min="1031" max="1031" width="8.109375" style="87" customWidth="1"/>
    <col min="1032" max="1032" width="7" style="87" customWidth="1"/>
    <col min="1033" max="1033" width="6.5546875" style="87" customWidth="1"/>
    <col min="1034" max="1034" width="6.44140625" style="87" customWidth="1"/>
    <col min="1035" max="1035" width="5.109375" style="87" customWidth="1"/>
    <col min="1036" max="1036" width="6.33203125" style="87" customWidth="1"/>
    <col min="1037" max="1037" width="7.5546875" style="87" customWidth="1"/>
    <col min="1038" max="1038" width="15.6640625" style="87" bestFit="1" customWidth="1"/>
    <col min="1039" max="1281" width="14.44140625" style="87"/>
    <col min="1282" max="1282" width="42.88671875" style="87" customWidth="1"/>
    <col min="1283" max="1283" width="16.44140625" style="87" customWidth="1"/>
    <col min="1284" max="1284" width="16.109375" style="87" customWidth="1"/>
    <col min="1285" max="1285" width="5.6640625" style="87" bestFit="1" customWidth="1"/>
    <col min="1286" max="1286" width="6" style="87" bestFit="1" customWidth="1"/>
    <col min="1287" max="1287" width="8.109375" style="87" customWidth="1"/>
    <col min="1288" max="1288" width="7" style="87" customWidth="1"/>
    <col min="1289" max="1289" width="6.5546875" style="87" customWidth="1"/>
    <col min="1290" max="1290" width="6.44140625" style="87" customWidth="1"/>
    <col min="1291" max="1291" width="5.109375" style="87" customWidth="1"/>
    <col min="1292" max="1292" width="6.33203125" style="87" customWidth="1"/>
    <col min="1293" max="1293" width="7.5546875" style="87" customWidth="1"/>
    <col min="1294" max="1294" width="15.6640625" style="87" bestFit="1" customWidth="1"/>
    <col min="1295" max="1537" width="14.44140625" style="87"/>
    <col min="1538" max="1538" width="42.88671875" style="87" customWidth="1"/>
    <col min="1539" max="1539" width="16.44140625" style="87" customWidth="1"/>
    <col min="1540" max="1540" width="16.109375" style="87" customWidth="1"/>
    <col min="1541" max="1541" width="5.6640625" style="87" bestFit="1" customWidth="1"/>
    <col min="1542" max="1542" width="6" style="87" bestFit="1" customWidth="1"/>
    <col min="1543" max="1543" width="8.109375" style="87" customWidth="1"/>
    <col min="1544" max="1544" width="7" style="87" customWidth="1"/>
    <col min="1545" max="1545" width="6.5546875" style="87" customWidth="1"/>
    <col min="1546" max="1546" width="6.44140625" style="87" customWidth="1"/>
    <col min="1547" max="1547" width="5.109375" style="87" customWidth="1"/>
    <col min="1548" max="1548" width="6.33203125" style="87" customWidth="1"/>
    <col min="1549" max="1549" width="7.5546875" style="87" customWidth="1"/>
    <col min="1550" max="1550" width="15.6640625" style="87" bestFit="1" customWidth="1"/>
    <col min="1551" max="1793" width="14.44140625" style="87"/>
    <col min="1794" max="1794" width="42.88671875" style="87" customWidth="1"/>
    <col min="1795" max="1795" width="16.44140625" style="87" customWidth="1"/>
    <col min="1796" max="1796" width="16.109375" style="87" customWidth="1"/>
    <col min="1797" max="1797" width="5.6640625" style="87" bestFit="1" customWidth="1"/>
    <col min="1798" max="1798" width="6" style="87" bestFit="1" customWidth="1"/>
    <col min="1799" max="1799" width="8.109375" style="87" customWidth="1"/>
    <col min="1800" max="1800" width="7" style="87" customWidth="1"/>
    <col min="1801" max="1801" width="6.5546875" style="87" customWidth="1"/>
    <col min="1802" max="1802" width="6.44140625" style="87" customWidth="1"/>
    <col min="1803" max="1803" width="5.109375" style="87" customWidth="1"/>
    <col min="1804" max="1804" width="6.33203125" style="87" customWidth="1"/>
    <col min="1805" max="1805" width="7.5546875" style="87" customWidth="1"/>
    <col min="1806" max="1806" width="15.6640625" style="87" bestFit="1" customWidth="1"/>
    <col min="1807" max="2049" width="14.44140625" style="87"/>
    <col min="2050" max="2050" width="42.88671875" style="87" customWidth="1"/>
    <col min="2051" max="2051" width="16.44140625" style="87" customWidth="1"/>
    <col min="2052" max="2052" width="16.109375" style="87" customWidth="1"/>
    <col min="2053" max="2053" width="5.6640625" style="87" bestFit="1" customWidth="1"/>
    <col min="2054" max="2054" width="6" style="87" bestFit="1" customWidth="1"/>
    <col min="2055" max="2055" width="8.109375" style="87" customWidth="1"/>
    <col min="2056" max="2056" width="7" style="87" customWidth="1"/>
    <col min="2057" max="2057" width="6.5546875" style="87" customWidth="1"/>
    <col min="2058" max="2058" width="6.44140625" style="87" customWidth="1"/>
    <col min="2059" max="2059" width="5.109375" style="87" customWidth="1"/>
    <col min="2060" max="2060" width="6.33203125" style="87" customWidth="1"/>
    <col min="2061" max="2061" width="7.5546875" style="87" customWidth="1"/>
    <col min="2062" max="2062" width="15.6640625" style="87" bestFit="1" customWidth="1"/>
    <col min="2063" max="2305" width="14.44140625" style="87"/>
    <col min="2306" max="2306" width="42.88671875" style="87" customWidth="1"/>
    <col min="2307" max="2307" width="16.44140625" style="87" customWidth="1"/>
    <col min="2308" max="2308" width="16.109375" style="87" customWidth="1"/>
    <col min="2309" max="2309" width="5.6640625" style="87" bestFit="1" customWidth="1"/>
    <col min="2310" max="2310" width="6" style="87" bestFit="1" customWidth="1"/>
    <col min="2311" max="2311" width="8.109375" style="87" customWidth="1"/>
    <col min="2312" max="2312" width="7" style="87" customWidth="1"/>
    <col min="2313" max="2313" width="6.5546875" style="87" customWidth="1"/>
    <col min="2314" max="2314" width="6.44140625" style="87" customWidth="1"/>
    <col min="2315" max="2315" width="5.109375" style="87" customWidth="1"/>
    <col min="2316" max="2316" width="6.33203125" style="87" customWidth="1"/>
    <col min="2317" max="2317" width="7.5546875" style="87" customWidth="1"/>
    <col min="2318" max="2318" width="15.6640625" style="87" bestFit="1" customWidth="1"/>
    <col min="2319" max="2561" width="14.44140625" style="87"/>
    <col min="2562" max="2562" width="42.88671875" style="87" customWidth="1"/>
    <col min="2563" max="2563" width="16.44140625" style="87" customWidth="1"/>
    <col min="2564" max="2564" width="16.109375" style="87" customWidth="1"/>
    <col min="2565" max="2565" width="5.6640625" style="87" bestFit="1" customWidth="1"/>
    <col min="2566" max="2566" width="6" style="87" bestFit="1" customWidth="1"/>
    <col min="2567" max="2567" width="8.109375" style="87" customWidth="1"/>
    <col min="2568" max="2568" width="7" style="87" customWidth="1"/>
    <col min="2569" max="2569" width="6.5546875" style="87" customWidth="1"/>
    <col min="2570" max="2570" width="6.44140625" style="87" customWidth="1"/>
    <col min="2571" max="2571" width="5.109375" style="87" customWidth="1"/>
    <col min="2572" max="2572" width="6.33203125" style="87" customWidth="1"/>
    <col min="2573" max="2573" width="7.5546875" style="87" customWidth="1"/>
    <col min="2574" max="2574" width="15.6640625" style="87" bestFit="1" customWidth="1"/>
    <col min="2575" max="2817" width="14.44140625" style="87"/>
    <col min="2818" max="2818" width="42.88671875" style="87" customWidth="1"/>
    <col min="2819" max="2819" width="16.44140625" style="87" customWidth="1"/>
    <col min="2820" max="2820" width="16.109375" style="87" customWidth="1"/>
    <col min="2821" max="2821" width="5.6640625" style="87" bestFit="1" customWidth="1"/>
    <col min="2822" max="2822" width="6" style="87" bestFit="1" customWidth="1"/>
    <col min="2823" max="2823" width="8.109375" style="87" customWidth="1"/>
    <col min="2824" max="2824" width="7" style="87" customWidth="1"/>
    <col min="2825" max="2825" width="6.5546875" style="87" customWidth="1"/>
    <col min="2826" max="2826" width="6.44140625" style="87" customWidth="1"/>
    <col min="2827" max="2827" width="5.109375" style="87" customWidth="1"/>
    <col min="2828" max="2828" width="6.33203125" style="87" customWidth="1"/>
    <col min="2829" max="2829" width="7.5546875" style="87" customWidth="1"/>
    <col min="2830" max="2830" width="15.6640625" style="87" bestFit="1" customWidth="1"/>
    <col min="2831" max="3073" width="14.44140625" style="87"/>
    <col min="3074" max="3074" width="42.88671875" style="87" customWidth="1"/>
    <col min="3075" max="3075" width="16.44140625" style="87" customWidth="1"/>
    <col min="3076" max="3076" width="16.109375" style="87" customWidth="1"/>
    <col min="3077" max="3077" width="5.6640625" style="87" bestFit="1" customWidth="1"/>
    <col min="3078" max="3078" width="6" style="87" bestFit="1" customWidth="1"/>
    <col min="3079" max="3079" width="8.109375" style="87" customWidth="1"/>
    <col min="3080" max="3080" width="7" style="87" customWidth="1"/>
    <col min="3081" max="3081" width="6.5546875" style="87" customWidth="1"/>
    <col min="3082" max="3082" width="6.44140625" style="87" customWidth="1"/>
    <col min="3083" max="3083" width="5.109375" style="87" customWidth="1"/>
    <col min="3084" max="3084" width="6.33203125" style="87" customWidth="1"/>
    <col min="3085" max="3085" width="7.5546875" style="87" customWidth="1"/>
    <col min="3086" max="3086" width="15.6640625" style="87" bestFit="1" customWidth="1"/>
    <col min="3087" max="3329" width="14.44140625" style="87"/>
    <col min="3330" max="3330" width="42.88671875" style="87" customWidth="1"/>
    <col min="3331" max="3331" width="16.44140625" style="87" customWidth="1"/>
    <col min="3332" max="3332" width="16.109375" style="87" customWidth="1"/>
    <col min="3333" max="3333" width="5.6640625" style="87" bestFit="1" customWidth="1"/>
    <col min="3334" max="3334" width="6" style="87" bestFit="1" customWidth="1"/>
    <col min="3335" max="3335" width="8.109375" style="87" customWidth="1"/>
    <col min="3336" max="3336" width="7" style="87" customWidth="1"/>
    <col min="3337" max="3337" width="6.5546875" style="87" customWidth="1"/>
    <col min="3338" max="3338" width="6.44140625" style="87" customWidth="1"/>
    <col min="3339" max="3339" width="5.109375" style="87" customWidth="1"/>
    <col min="3340" max="3340" width="6.33203125" style="87" customWidth="1"/>
    <col min="3341" max="3341" width="7.5546875" style="87" customWidth="1"/>
    <col min="3342" max="3342" width="15.6640625" style="87" bestFit="1" customWidth="1"/>
    <col min="3343" max="3585" width="14.44140625" style="87"/>
    <col min="3586" max="3586" width="42.88671875" style="87" customWidth="1"/>
    <col min="3587" max="3587" width="16.44140625" style="87" customWidth="1"/>
    <col min="3588" max="3588" width="16.109375" style="87" customWidth="1"/>
    <col min="3589" max="3589" width="5.6640625" style="87" bestFit="1" customWidth="1"/>
    <col min="3590" max="3590" width="6" style="87" bestFit="1" customWidth="1"/>
    <col min="3591" max="3591" width="8.109375" style="87" customWidth="1"/>
    <col min="3592" max="3592" width="7" style="87" customWidth="1"/>
    <col min="3593" max="3593" width="6.5546875" style="87" customWidth="1"/>
    <col min="3594" max="3594" width="6.44140625" style="87" customWidth="1"/>
    <col min="3595" max="3595" width="5.109375" style="87" customWidth="1"/>
    <col min="3596" max="3596" width="6.33203125" style="87" customWidth="1"/>
    <col min="3597" max="3597" width="7.5546875" style="87" customWidth="1"/>
    <col min="3598" max="3598" width="15.6640625" style="87" bestFit="1" customWidth="1"/>
    <col min="3599" max="3841" width="14.44140625" style="87"/>
    <col min="3842" max="3842" width="42.88671875" style="87" customWidth="1"/>
    <col min="3843" max="3843" width="16.44140625" style="87" customWidth="1"/>
    <col min="3844" max="3844" width="16.109375" style="87" customWidth="1"/>
    <col min="3845" max="3845" width="5.6640625" style="87" bestFit="1" customWidth="1"/>
    <col min="3846" max="3846" width="6" style="87" bestFit="1" customWidth="1"/>
    <col min="3847" max="3847" width="8.109375" style="87" customWidth="1"/>
    <col min="3848" max="3848" width="7" style="87" customWidth="1"/>
    <col min="3849" max="3849" width="6.5546875" style="87" customWidth="1"/>
    <col min="3850" max="3850" width="6.44140625" style="87" customWidth="1"/>
    <col min="3851" max="3851" width="5.109375" style="87" customWidth="1"/>
    <col min="3852" max="3852" width="6.33203125" style="87" customWidth="1"/>
    <col min="3853" max="3853" width="7.5546875" style="87" customWidth="1"/>
    <col min="3854" max="3854" width="15.6640625" style="87" bestFit="1" customWidth="1"/>
    <col min="3855" max="4097" width="14.44140625" style="87"/>
    <col min="4098" max="4098" width="42.88671875" style="87" customWidth="1"/>
    <col min="4099" max="4099" width="16.44140625" style="87" customWidth="1"/>
    <col min="4100" max="4100" width="16.109375" style="87" customWidth="1"/>
    <col min="4101" max="4101" width="5.6640625" style="87" bestFit="1" customWidth="1"/>
    <col min="4102" max="4102" width="6" style="87" bestFit="1" customWidth="1"/>
    <col min="4103" max="4103" width="8.109375" style="87" customWidth="1"/>
    <col min="4104" max="4104" width="7" style="87" customWidth="1"/>
    <col min="4105" max="4105" width="6.5546875" style="87" customWidth="1"/>
    <col min="4106" max="4106" width="6.44140625" style="87" customWidth="1"/>
    <col min="4107" max="4107" width="5.109375" style="87" customWidth="1"/>
    <col min="4108" max="4108" width="6.33203125" style="87" customWidth="1"/>
    <col min="4109" max="4109" width="7.5546875" style="87" customWidth="1"/>
    <col min="4110" max="4110" width="15.6640625" style="87" bestFit="1" customWidth="1"/>
    <col min="4111" max="4353" width="14.44140625" style="87"/>
    <col min="4354" max="4354" width="42.88671875" style="87" customWidth="1"/>
    <col min="4355" max="4355" width="16.44140625" style="87" customWidth="1"/>
    <col min="4356" max="4356" width="16.109375" style="87" customWidth="1"/>
    <col min="4357" max="4357" width="5.6640625" style="87" bestFit="1" customWidth="1"/>
    <col min="4358" max="4358" width="6" style="87" bestFit="1" customWidth="1"/>
    <col min="4359" max="4359" width="8.109375" style="87" customWidth="1"/>
    <col min="4360" max="4360" width="7" style="87" customWidth="1"/>
    <col min="4361" max="4361" width="6.5546875" style="87" customWidth="1"/>
    <col min="4362" max="4362" width="6.44140625" style="87" customWidth="1"/>
    <col min="4363" max="4363" width="5.109375" style="87" customWidth="1"/>
    <col min="4364" max="4364" width="6.33203125" style="87" customWidth="1"/>
    <col min="4365" max="4365" width="7.5546875" style="87" customWidth="1"/>
    <col min="4366" max="4366" width="15.6640625" style="87" bestFit="1" customWidth="1"/>
    <col min="4367" max="4609" width="14.44140625" style="87"/>
    <col min="4610" max="4610" width="42.88671875" style="87" customWidth="1"/>
    <col min="4611" max="4611" width="16.44140625" style="87" customWidth="1"/>
    <col min="4612" max="4612" width="16.109375" style="87" customWidth="1"/>
    <col min="4613" max="4613" width="5.6640625" style="87" bestFit="1" customWidth="1"/>
    <col min="4614" max="4614" width="6" style="87" bestFit="1" customWidth="1"/>
    <col min="4615" max="4615" width="8.109375" style="87" customWidth="1"/>
    <col min="4616" max="4616" width="7" style="87" customWidth="1"/>
    <col min="4617" max="4617" width="6.5546875" style="87" customWidth="1"/>
    <col min="4618" max="4618" width="6.44140625" style="87" customWidth="1"/>
    <col min="4619" max="4619" width="5.109375" style="87" customWidth="1"/>
    <col min="4620" max="4620" width="6.33203125" style="87" customWidth="1"/>
    <col min="4621" max="4621" width="7.5546875" style="87" customWidth="1"/>
    <col min="4622" max="4622" width="15.6640625" style="87" bestFit="1" customWidth="1"/>
    <col min="4623" max="4865" width="14.44140625" style="87"/>
    <col min="4866" max="4866" width="42.88671875" style="87" customWidth="1"/>
    <col min="4867" max="4867" width="16.44140625" style="87" customWidth="1"/>
    <col min="4868" max="4868" width="16.109375" style="87" customWidth="1"/>
    <col min="4869" max="4869" width="5.6640625" style="87" bestFit="1" customWidth="1"/>
    <col min="4870" max="4870" width="6" style="87" bestFit="1" customWidth="1"/>
    <col min="4871" max="4871" width="8.109375" style="87" customWidth="1"/>
    <col min="4872" max="4872" width="7" style="87" customWidth="1"/>
    <col min="4873" max="4873" width="6.5546875" style="87" customWidth="1"/>
    <col min="4874" max="4874" width="6.44140625" style="87" customWidth="1"/>
    <col min="4875" max="4875" width="5.109375" style="87" customWidth="1"/>
    <col min="4876" max="4876" width="6.33203125" style="87" customWidth="1"/>
    <col min="4877" max="4877" width="7.5546875" style="87" customWidth="1"/>
    <col min="4878" max="4878" width="15.6640625" style="87" bestFit="1" customWidth="1"/>
    <col min="4879" max="5121" width="14.44140625" style="87"/>
    <col min="5122" max="5122" width="42.88671875" style="87" customWidth="1"/>
    <col min="5123" max="5123" width="16.44140625" style="87" customWidth="1"/>
    <col min="5124" max="5124" width="16.109375" style="87" customWidth="1"/>
    <col min="5125" max="5125" width="5.6640625" style="87" bestFit="1" customWidth="1"/>
    <col min="5126" max="5126" width="6" style="87" bestFit="1" customWidth="1"/>
    <col min="5127" max="5127" width="8.109375" style="87" customWidth="1"/>
    <col min="5128" max="5128" width="7" style="87" customWidth="1"/>
    <col min="5129" max="5129" width="6.5546875" style="87" customWidth="1"/>
    <col min="5130" max="5130" width="6.44140625" style="87" customWidth="1"/>
    <col min="5131" max="5131" width="5.109375" style="87" customWidth="1"/>
    <col min="5132" max="5132" width="6.33203125" style="87" customWidth="1"/>
    <col min="5133" max="5133" width="7.5546875" style="87" customWidth="1"/>
    <col min="5134" max="5134" width="15.6640625" style="87" bestFit="1" customWidth="1"/>
    <col min="5135" max="5377" width="14.44140625" style="87"/>
    <col min="5378" max="5378" width="42.88671875" style="87" customWidth="1"/>
    <col min="5379" max="5379" width="16.44140625" style="87" customWidth="1"/>
    <col min="5380" max="5380" width="16.109375" style="87" customWidth="1"/>
    <col min="5381" max="5381" width="5.6640625" style="87" bestFit="1" customWidth="1"/>
    <col min="5382" max="5382" width="6" style="87" bestFit="1" customWidth="1"/>
    <col min="5383" max="5383" width="8.109375" style="87" customWidth="1"/>
    <col min="5384" max="5384" width="7" style="87" customWidth="1"/>
    <col min="5385" max="5385" width="6.5546875" style="87" customWidth="1"/>
    <col min="5386" max="5386" width="6.44140625" style="87" customWidth="1"/>
    <col min="5387" max="5387" width="5.109375" style="87" customWidth="1"/>
    <col min="5388" max="5388" width="6.33203125" style="87" customWidth="1"/>
    <col min="5389" max="5389" width="7.5546875" style="87" customWidth="1"/>
    <col min="5390" max="5390" width="15.6640625" style="87" bestFit="1" customWidth="1"/>
    <col min="5391" max="5633" width="14.44140625" style="87"/>
    <col min="5634" max="5634" width="42.88671875" style="87" customWidth="1"/>
    <col min="5635" max="5635" width="16.44140625" style="87" customWidth="1"/>
    <col min="5636" max="5636" width="16.109375" style="87" customWidth="1"/>
    <col min="5637" max="5637" width="5.6640625" style="87" bestFit="1" customWidth="1"/>
    <col min="5638" max="5638" width="6" style="87" bestFit="1" customWidth="1"/>
    <col min="5639" max="5639" width="8.109375" style="87" customWidth="1"/>
    <col min="5640" max="5640" width="7" style="87" customWidth="1"/>
    <col min="5641" max="5641" width="6.5546875" style="87" customWidth="1"/>
    <col min="5642" max="5642" width="6.44140625" style="87" customWidth="1"/>
    <col min="5643" max="5643" width="5.109375" style="87" customWidth="1"/>
    <col min="5644" max="5644" width="6.33203125" style="87" customWidth="1"/>
    <col min="5645" max="5645" width="7.5546875" style="87" customWidth="1"/>
    <col min="5646" max="5646" width="15.6640625" style="87" bestFit="1" customWidth="1"/>
    <col min="5647" max="5889" width="14.44140625" style="87"/>
    <col min="5890" max="5890" width="42.88671875" style="87" customWidth="1"/>
    <col min="5891" max="5891" width="16.44140625" style="87" customWidth="1"/>
    <col min="5892" max="5892" width="16.109375" style="87" customWidth="1"/>
    <col min="5893" max="5893" width="5.6640625" style="87" bestFit="1" customWidth="1"/>
    <col min="5894" max="5894" width="6" style="87" bestFit="1" customWidth="1"/>
    <col min="5895" max="5895" width="8.109375" style="87" customWidth="1"/>
    <col min="5896" max="5896" width="7" style="87" customWidth="1"/>
    <col min="5897" max="5897" width="6.5546875" style="87" customWidth="1"/>
    <col min="5898" max="5898" width="6.44140625" style="87" customWidth="1"/>
    <col min="5899" max="5899" width="5.109375" style="87" customWidth="1"/>
    <col min="5900" max="5900" width="6.33203125" style="87" customWidth="1"/>
    <col min="5901" max="5901" width="7.5546875" style="87" customWidth="1"/>
    <col min="5902" max="5902" width="15.6640625" style="87" bestFit="1" customWidth="1"/>
    <col min="5903" max="6145" width="14.44140625" style="87"/>
    <col min="6146" max="6146" width="42.88671875" style="87" customWidth="1"/>
    <col min="6147" max="6147" width="16.44140625" style="87" customWidth="1"/>
    <col min="6148" max="6148" width="16.109375" style="87" customWidth="1"/>
    <col min="6149" max="6149" width="5.6640625" style="87" bestFit="1" customWidth="1"/>
    <col min="6150" max="6150" width="6" style="87" bestFit="1" customWidth="1"/>
    <col min="6151" max="6151" width="8.109375" style="87" customWidth="1"/>
    <col min="6152" max="6152" width="7" style="87" customWidth="1"/>
    <col min="6153" max="6153" width="6.5546875" style="87" customWidth="1"/>
    <col min="6154" max="6154" width="6.44140625" style="87" customWidth="1"/>
    <col min="6155" max="6155" width="5.109375" style="87" customWidth="1"/>
    <col min="6156" max="6156" width="6.33203125" style="87" customWidth="1"/>
    <col min="6157" max="6157" width="7.5546875" style="87" customWidth="1"/>
    <col min="6158" max="6158" width="15.6640625" style="87" bestFit="1" customWidth="1"/>
    <col min="6159" max="6401" width="14.44140625" style="87"/>
    <col min="6402" max="6402" width="42.88671875" style="87" customWidth="1"/>
    <col min="6403" max="6403" width="16.44140625" style="87" customWidth="1"/>
    <col min="6404" max="6404" width="16.109375" style="87" customWidth="1"/>
    <col min="6405" max="6405" width="5.6640625" style="87" bestFit="1" customWidth="1"/>
    <col min="6406" max="6406" width="6" style="87" bestFit="1" customWidth="1"/>
    <col min="6407" max="6407" width="8.109375" style="87" customWidth="1"/>
    <col min="6408" max="6408" width="7" style="87" customWidth="1"/>
    <col min="6409" max="6409" width="6.5546875" style="87" customWidth="1"/>
    <col min="6410" max="6410" width="6.44140625" style="87" customWidth="1"/>
    <col min="6411" max="6411" width="5.109375" style="87" customWidth="1"/>
    <col min="6412" max="6412" width="6.33203125" style="87" customWidth="1"/>
    <col min="6413" max="6413" width="7.5546875" style="87" customWidth="1"/>
    <col min="6414" max="6414" width="15.6640625" style="87" bestFit="1" customWidth="1"/>
    <col min="6415" max="6657" width="14.44140625" style="87"/>
    <col min="6658" max="6658" width="42.88671875" style="87" customWidth="1"/>
    <col min="6659" max="6659" width="16.44140625" style="87" customWidth="1"/>
    <col min="6660" max="6660" width="16.109375" style="87" customWidth="1"/>
    <col min="6661" max="6661" width="5.6640625" style="87" bestFit="1" customWidth="1"/>
    <col min="6662" max="6662" width="6" style="87" bestFit="1" customWidth="1"/>
    <col min="6663" max="6663" width="8.109375" style="87" customWidth="1"/>
    <col min="6664" max="6664" width="7" style="87" customWidth="1"/>
    <col min="6665" max="6665" width="6.5546875" style="87" customWidth="1"/>
    <col min="6666" max="6666" width="6.44140625" style="87" customWidth="1"/>
    <col min="6667" max="6667" width="5.109375" style="87" customWidth="1"/>
    <col min="6668" max="6668" width="6.33203125" style="87" customWidth="1"/>
    <col min="6669" max="6669" width="7.5546875" style="87" customWidth="1"/>
    <col min="6670" max="6670" width="15.6640625" style="87" bestFit="1" customWidth="1"/>
    <col min="6671" max="6913" width="14.44140625" style="87"/>
    <col min="6914" max="6914" width="42.88671875" style="87" customWidth="1"/>
    <col min="6915" max="6915" width="16.44140625" style="87" customWidth="1"/>
    <col min="6916" max="6916" width="16.109375" style="87" customWidth="1"/>
    <col min="6917" max="6917" width="5.6640625" style="87" bestFit="1" customWidth="1"/>
    <col min="6918" max="6918" width="6" style="87" bestFit="1" customWidth="1"/>
    <col min="6919" max="6919" width="8.109375" style="87" customWidth="1"/>
    <col min="6920" max="6920" width="7" style="87" customWidth="1"/>
    <col min="6921" max="6921" width="6.5546875" style="87" customWidth="1"/>
    <col min="6922" max="6922" width="6.44140625" style="87" customWidth="1"/>
    <col min="6923" max="6923" width="5.109375" style="87" customWidth="1"/>
    <col min="6924" max="6924" width="6.33203125" style="87" customWidth="1"/>
    <col min="6925" max="6925" width="7.5546875" style="87" customWidth="1"/>
    <col min="6926" max="6926" width="15.6640625" style="87" bestFit="1" customWidth="1"/>
    <col min="6927" max="7169" width="14.44140625" style="87"/>
    <col min="7170" max="7170" width="42.88671875" style="87" customWidth="1"/>
    <col min="7171" max="7171" width="16.44140625" style="87" customWidth="1"/>
    <col min="7172" max="7172" width="16.109375" style="87" customWidth="1"/>
    <col min="7173" max="7173" width="5.6640625" style="87" bestFit="1" customWidth="1"/>
    <col min="7174" max="7174" width="6" style="87" bestFit="1" customWidth="1"/>
    <col min="7175" max="7175" width="8.109375" style="87" customWidth="1"/>
    <col min="7176" max="7176" width="7" style="87" customWidth="1"/>
    <col min="7177" max="7177" width="6.5546875" style="87" customWidth="1"/>
    <col min="7178" max="7178" width="6.44140625" style="87" customWidth="1"/>
    <col min="7179" max="7179" width="5.109375" style="87" customWidth="1"/>
    <col min="7180" max="7180" width="6.33203125" style="87" customWidth="1"/>
    <col min="7181" max="7181" width="7.5546875" style="87" customWidth="1"/>
    <col min="7182" max="7182" width="15.6640625" style="87" bestFit="1" customWidth="1"/>
    <col min="7183" max="7425" width="14.44140625" style="87"/>
    <col min="7426" max="7426" width="42.88671875" style="87" customWidth="1"/>
    <col min="7427" max="7427" width="16.44140625" style="87" customWidth="1"/>
    <col min="7428" max="7428" width="16.109375" style="87" customWidth="1"/>
    <col min="7429" max="7429" width="5.6640625" style="87" bestFit="1" customWidth="1"/>
    <col min="7430" max="7430" width="6" style="87" bestFit="1" customWidth="1"/>
    <col min="7431" max="7431" width="8.109375" style="87" customWidth="1"/>
    <col min="7432" max="7432" width="7" style="87" customWidth="1"/>
    <col min="7433" max="7433" width="6.5546875" style="87" customWidth="1"/>
    <col min="7434" max="7434" width="6.44140625" style="87" customWidth="1"/>
    <col min="7435" max="7435" width="5.109375" style="87" customWidth="1"/>
    <col min="7436" max="7436" width="6.33203125" style="87" customWidth="1"/>
    <col min="7437" max="7437" width="7.5546875" style="87" customWidth="1"/>
    <col min="7438" max="7438" width="15.6640625" style="87" bestFit="1" customWidth="1"/>
    <col min="7439" max="7681" width="14.44140625" style="87"/>
    <col min="7682" max="7682" width="42.88671875" style="87" customWidth="1"/>
    <col min="7683" max="7683" width="16.44140625" style="87" customWidth="1"/>
    <col min="7684" max="7684" width="16.109375" style="87" customWidth="1"/>
    <col min="7685" max="7685" width="5.6640625" style="87" bestFit="1" customWidth="1"/>
    <col min="7686" max="7686" width="6" style="87" bestFit="1" customWidth="1"/>
    <col min="7687" max="7687" width="8.109375" style="87" customWidth="1"/>
    <col min="7688" max="7688" width="7" style="87" customWidth="1"/>
    <col min="7689" max="7689" width="6.5546875" style="87" customWidth="1"/>
    <col min="7690" max="7690" width="6.44140625" style="87" customWidth="1"/>
    <col min="7691" max="7691" width="5.109375" style="87" customWidth="1"/>
    <col min="7692" max="7692" width="6.33203125" style="87" customWidth="1"/>
    <col min="7693" max="7693" width="7.5546875" style="87" customWidth="1"/>
    <col min="7694" max="7694" width="15.6640625" style="87" bestFit="1" customWidth="1"/>
    <col min="7695" max="7937" width="14.44140625" style="87"/>
    <col min="7938" max="7938" width="42.88671875" style="87" customWidth="1"/>
    <col min="7939" max="7939" width="16.44140625" style="87" customWidth="1"/>
    <col min="7940" max="7940" width="16.109375" style="87" customWidth="1"/>
    <col min="7941" max="7941" width="5.6640625" style="87" bestFit="1" customWidth="1"/>
    <col min="7942" max="7942" width="6" style="87" bestFit="1" customWidth="1"/>
    <col min="7943" max="7943" width="8.109375" style="87" customWidth="1"/>
    <col min="7944" max="7944" width="7" style="87" customWidth="1"/>
    <col min="7945" max="7945" width="6.5546875" style="87" customWidth="1"/>
    <col min="7946" max="7946" width="6.44140625" style="87" customWidth="1"/>
    <col min="7947" max="7947" width="5.109375" style="87" customWidth="1"/>
    <col min="7948" max="7948" width="6.33203125" style="87" customWidth="1"/>
    <col min="7949" max="7949" width="7.5546875" style="87" customWidth="1"/>
    <col min="7950" max="7950" width="15.6640625" style="87" bestFit="1" customWidth="1"/>
    <col min="7951" max="8193" width="14.44140625" style="87"/>
    <col min="8194" max="8194" width="42.88671875" style="87" customWidth="1"/>
    <col min="8195" max="8195" width="16.44140625" style="87" customWidth="1"/>
    <col min="8196" max="8196" width="16.109375" style="87" customWidth="1"/>
    <col min="8197" max="8197" width="5.6640625" style="87" bestFit="1" customWidth="1"/>
    <col min="8198" max="8198" width="6" style="87" bestFit="1" customWidth="1"/>
    <col min="8199" max="8199" width="8.109375" style="87" customWidth="1"/>
    <col min="8200" max="8200" width="7" style="87" customWidth="1"/>
    <col min="8201" max="8201" width="6.5546875" style="87" customWidth="1"/>
    <col min="8202" max="8202" width="6.44140625" style="87" customWidth="1"/>
    <col min="8203" max="8203" width="5.109375" style="87" customWidth="1"/>
    <col min="8204" max="8204" width="6.33203125" style="87" customWidth="1"/>
    <col min="8205" max="8205" width="7.5546875" style="87" customWidth="1"/>
    <col min="8206" max="8206" width="15.6640625" style="87" bestFit="1" customWidth="1"/>
    <col min="8207" max="8449" width="14.44140625" style="87"/>
    <col min="8450" max="8450" width="42.88671875" style="87" customWidth="1"/>
    <col min="8451" max="8451" width="16.44140625" style="87" customWidth="1"/>
    <col min="8452" max="8452" width="16.109375" style="87" customWidth="1"/>
    <col min="8453" max="8453" width="5.6640625" style="87" bestFit="1" customWidth="1"/>
    <col min="8454" max="8454" width="6" style="87" bestFit="1" customWidth="1"/>
    <col min="8455" max="8455" width="8.109375" style="87" customWidth="1"/>
    <col min="8456" max="8456" width="7" style="87" customWidth="1"/>
    <col min="8457" max="8457" width="6.5546875" style="87" customWidth="1"/>
    <col min="8458" max="8458" width="6.44140625" style="87" customWidth="1"/>
    <col min="8459" max="8459" width="5.109375" style="87" customWidth="1"/>
    <col min="8460" max="8460" width="6.33203125" style="87" customWidth="1"/>
    <col min="8461" max="8461" width="7.5546875" style="87" customWidth="1"/>
    <col min="8462" max="8462" width="15.6640625" style="87" bestFit="1" customWidth="1"/>
    <col min="8463" max="8705" width="14.44140625" style="87"/>
    <col min="8706" max="8706" width="42.88671875" style="87" customWidth="1"/>
    <col min="8707" max="8707" width="16.44140625" style="87" customWidth="1"/>
    <col min="8708" max="8708" width="16.109375" style="87" customWidth="1"/>
    <col min="8709" max="8709" width="5.6640625" style="87" bestFit="1" customWidth="1"/>
    <col min="8710" max="8710" width="6" style="87" bestFit="1" customWidth="1"/>
    <col min="8711" max="8711" width="8.109375" style="87" customWidth="1"/>
    <col min="8712" max="8712" width="7" style="87" customWidth="1"/>
    <col min="8713" max="8713" width="6.5546875" style="87" customWidth="1"/>
    <col min="8714" max="8714" width="6.44140625" style="87" customWidth="1"/>
    <col min="8715" max="8715" width="5.109375" style="87" customWidth="1"/>
    <col min="8716" max="8716" width="6.33203125" style="87" customWidth="1"/>
    <col min="8717" max="8717" width="7.5546875" style="87" customWidth="1"/>
    <col min="8718" max="8718" width="15.6640625" style="87" bestFit="1" customWidth="1"/>
    <col min="8719" max="8961" width="14.44140625" style="87"/>
    <col min="8962" max="8962" width="42.88671875" style="87" customWidth="1"/>
    <col min="8963" max="8963" width="16.44140625" style="87" customWidth="1"/>
    <col min="8964" max="8964" width="16.109375" style="87" customWidth="1"/>
    <col min="8965" max="8965" width="5.6640625" style="87" bestFit="1" customWidth="1"/>
    <col min="8966" max="8966" width="6" style="87" bestFit="1" customWidth="1"/>
    <col min="8967" max="8967" width="8.109375" style="87" customWidth="1"/>
    <col min="8968" max="8968" width="7" style="87" customWidth="1"/>
    <col min="8969" max="8969" width="6.5546875" style="87" customWidth="1"/>
    <col min="8970" max="8970" width="6.44140625" style="87" customWidth="1"/>
    <col min="8971" max="8971" width="5.109375" style="87" customWidth="1"/>
    <col min="8972" max="8972" width="6.33203125" style="87" customWidth="1"/>
    <col min="8973" max="8973" width="7.5546875" style="87" customWidth="1"/>
    <col min="8974" max="8974" width="15.6640625" style="87" bestFit="1" customWidth="1"/>
    <col min="8975" max="9217" width="14.44140625" style="87"/>
    <col min="9218" max="9218" width="42.88671875" style="87" customWidth="1"/>
    <col min="9219" max="9219" width="16.44140625" style="87" customWidth="1"/>
    <col min="9220" max="9220" width="16.109375" style="87" customWidth="1"/>
    <col min="9221" max="9221" width="5.6640625" style="87" bestFit="1" customWidth="1"/>
    <col min="9222" max="9222" width="6" style="87" bestFit="1" customWidth="1"/>
    <col min="9223" max="9223" width="8.109375" style="87" customWidth="1"/>
    <col min="9224" max="9224" width="7" style="87" customWidth="1"/>
    <col min="9225" max="9225" width="6.5546875" style="87" customWidth="1"/>
    <col min="9226" max="9226" width="6.44140625" style="87" customWidth="1"/>
    <col min="9227" max="9227" width="5.109375" style="87" customWidth="1"/>
    <col min="9228" max="9228" width="6.33203125" style="87" customWidth="1"/>
    <col min="9229" max="9229" width="7.5546875" style="87" customWidth="1"/>
    <col min="9230" max="9230" width="15.6640625" style="87" bestFit="1" customWidth="1"/>
    <col min="9231" max="9473" width="14.44140625" style="87"/>
    <col min="9474" max="9474" width="42.88671875" style="87" customWidth="1"/>
    <col min="9475" max="9475" width="16.44140625" style="87" customWidth="1"/>
    <col min="9476" max="9476" width="16.109375" style="87" customWidth="1"/>
    <col min="9477" max="9477" width="5.6640625" style="87" bestFit="1" customWidth="1"/>
    <col min="9478" max="9478" width="6" style="87" bestFit="1" customWidth="1"/>
    <col min="9479" max="9479" width="8.109375" style="87" customWidth="1"/>
    <col min="9480" max="9480" width="7" style="87" customWidth="1"/>
    <col min="9481" max="9481" width="6.5546875" style="87" customWidth="1"/>
    <col min="9482" max="9482" width="6.44140625" style="87" customWidth="1"/>
    <col min="9483" max="9483" width="5.109375" style="87" customWidth="1"/>
    <col min="9484" max="9484" width="6.33203125" style="87" customWidth="1"/>
    <col min="9485" max="9485" width="7.5546875" style="87" customWidth="1"/>
    <col min="9486" max="9486" width="15.6640625" style="87" bestFit="1" customWidth="1"/>
    <col min="9487" max="9729" width="14.44140625" style="87"/>
    <col min="9730" max="9730" width="42.88671875" style="87" customWidth="1"/>
    <col min="9731" max="9731" width="16.44140625" style="87" customWidth="1"/>
    <col min="9732" max="9732" width="16.109375" style="87" customWidth="1"/>
    <col min="9733" max="9733" width="5.6640625" style="87" bestFit="1" customWidth="1"/>
    <col min="9734" max="9734" width="6" style="87" bestFit="1" customWidth="1"/>
    <col min="9735" max="9735" width="8.109375" style="87" customWidth="1"/>
    <col min="9736" max="9736" width="7" style="87" customWidth="1"/>
    <col min="9737" max="9737" width="6.5546875" style="87" customWidth="1"/>
    <col min="9738" max="9738" width="6.44140625" style="87" customWidth="1"/>
    <col min="9739" max="9739" width="5.109375" style="87" customWidth="1"/>
    <col min="9740" max="9740" width="6.33203125" style="87" customWidth="1"/>
    <col min="9741" max="9741" width="7.5546875" style="87" customWidth="1"/>
    <col min="9742" max="9742" width="15.6640625" style="87" bestFit="1" customWidth="1"/>
    <col min="9743" max="9985" width="14.44140625" style="87"/>
    <col min="9986" max="9986" width="42.88671875" style="87" customWidth="1"/>
    <col min="9987" max="9987" width="16.44140625" style="87" customWidth="1"/>
    <col min="9988" max="9988" width="16.109375" style="87" customWidth="1"/>
    <col min="9989" max="9989" width="5.6640625" style="87" bestFit="1" customWidth="1"/>
    <col min="9990" max="9990" width="6" style="87" bestFit="1" customWidth="1"/>
    <col min="9991" max="9991" width="8.109375" style="87" customWidth="1"/>
    <col min="9992" max="9992" width="7" style="87" customWidth="1"/>
    <col min="9993" max="9993" width="6.5546875" style="87" customWidth="1"/>
    <col min="9994" max="9994" width="6.44140625" style="87" customWidth="1"/>
    <col min="9995" max="9995" width="5.109375" style="87" customWidth="1"/>
    <col min="9996" max="9996" width="6.33203125" style="87" customWidth="1"/>
    <col min="9997" max="9997" width="7.5546875" style="87" customWidth="1"/>
    <col min="9998" max="9998" width="15.6640625" style="87" bestFit="1" customWidth="1"/>
    <col min="9999" max="10241" width="14.44140625" style="87"/>
    <col min="10242" max="10242" width="42.88671875" style="87" customWidth="1"/>
    <col min="10243" max="10243" width="16.44140625" style="87" customWidth="1"/>
    <col min="10244" max="10244" width="16.109375" style="87" customWidth="1"/>
    <col min="10245" max="10245" width="5.6640625" style="87" bestFit="1" customWidth="1"/>
    <col min="10246" max="10246" width="6" style="87" bestFit="1" customWidth="1"/>
    <col min="10247" max="10247" width="8.109375" style="87" customWidth="1"/>
    <col min="10248" max="10248" width="7" style="87" customWidth="1"/>
    <col min="10249" max="10249" width="6.5546875" style="87" customWidth="1"/>
    <col min="10250" max="10250" width="6.44140625" style="87" customWidth="1"/>
    <col min="10251" max="10251" width="5.109375" style="87" customWidth="1"/>
    <col min="10252" max="10252" width="6.33203125" style="87" customWidth="1"/>
    <col min="10253" max="10253" width="7.5546875" style="87" customWidth="1"/>
    <col min="10254" max="10254" width="15.6640625" style="87" bestFit="1" customWidth="1"/>
    <col min="10255" max="10497" width="14.44140625" style="87"/>
    <col min="10498" max="10498" width="42.88671875" style="87" customWidth="1"/>
    <col min="10499" max="10499" width="16.44140625" style="87" customWidth="1"/>
    <col min="10500" max="10500" width="16.109375" style="87" customWidth="1"/>
    <col min="10501" max="10501" width="5.6640625" style="87" bestFit="1" customWidth="1"/>
    <col min="10502" max="10502" width="6" style="87" bestFit="1" customWidth="1"/>
    <col min="10503" max="10503" width="8.109375" style="87" customWidth="1"/>
    <col min="10504" max="10504" width="7" style="87" customWidth="1"/>
    <col min="10505" max="10505" width="6.5546875" style="87" customWidth="1"/>
    <col min="10506" max="10506" width="6.44140625" style="87" customWidth="1"/>
    <col min="10507" max="10507" width="5.109375" style="87" customWidth="1"/>
    <col min="10508" max="10508" width="6.33203125" style="87" customWidth="1"/>
    <col min="10509" max="10509" width="7.5546875" style="87" customWidth="1"/>
    <col min="10510" max="10510" width="15.6640625" style="87" bestFit="1" customWidth="1"/>
    <col min="10511" max="10753" width="14.44140625" style="87"/>
    <col min="10754" max="10754" width="42.88671875" style="87" customWidth="1"/>
    <col min="10755" max="10755" width="16.44140625" style="87" customWidth="1"/>
    <col min="10756" max="10756" width="16.109375" style="87" customWidth="1"/>
    <col min="10757" max="10757" width="5.6640625" style="87" bestFit="1" customWidth="1"/>
    <col min="10758" max="10758" width="6" style="87" bestFit="1" customWidth="1"/>
    <col min="10759" max="10759" width="8.109375" style="87" customWidth="1"/>
    <col min="10760" max="10760" width="7" style="87" customWidth="1"/>
    <col min="10761" max="10761" width="6.5546875" style="87" customWidth="1"/>
    <col min="10762" max="10762" width="6.44140625" style="87" customWidth="1"/>
    <col min="10763" max="10763" width="5.109375" style="87" customWidth="1"/>
    <col min="10764" max="10764" width="6.33203125" style="87" customWidth="1"/>
    <col min="10765" max="10765" width="7.5546875" style="87" customWidth="1"/>
    <col min="10766" max="10766" width="15.6640625" style="87" bestFit="1" customWidth="1"/>
    <col min="10767" max="11009" width="14.44140625" style="87"/>
    <col min="11010" max="11010" width="42.88671875" style="87" customWidth="1"/>
    <col min="11011" max="11011" width="16.44140625" style="87" customWidth="1"/>
    <col min="11012" max="11012" width="16.109375" style="87" customWidth="1"/>
    <col min="11013" max="11013" width="5.6640625" style="87" bestFit="1" customWidth="1"/>
    <col min="11014" max="11014" width="6" style="87" bestFit="1" customWidth="1"/>
    <col min="11015" max="11015" width="8.109375" style="87" customWidth="1"/>
    <col min="11016" max="11016" width="7" style="87" customWidth="1"/>
    <col min="11017" max="11017" width="6.5546875" style="87" customWidth="1"/>
    <col min="11018" max="11018" width="6.44140625" style="87" customWidth="1"/>
    <col min="11019" max="11019" width="5.109375" style="87" customWidth="1"/>
    <col min="11020" max="11020" width="6.33203125" style="87" customWidth="1"/>
    <col min="11021" max="11021" width="7.5546875" style="87" customWidth="1"/>
    <col min="11022" max="11022" width="15.6640625" style="87" bestFit="1" customWidth="1"/>
    <col min="11023" max="11265" width="14.44140625" style="87"/>
    <col min="11266" max="11266" width="42.88671875" style="87" customWidth="1"/>
    <col min="11267" max="11267" width="16.44140625" style="87" customWidth="1"/>
    <col min="11268" max="11268" width="16.109375" style="87" customWidth="1"/>
    <col min="11269" max="11269" width="5.6640625" style="87" bestFit="1" customWidth="1"/>
    <col min="11270" max="11270" width="6" style="87" bestFit="1" customWidth="1"/>
    <col min="11271" max="11271" width="8.109375" style="87" customWidth="1"/>
    <col min="11272" max="11272" width="7" style="87" customWidth="1"/>
    <col min="11273" max="11273" width="6.5546875" style="87" customWidth="1"/>
    <col min="11274" max="11274" width="6.44140625" style="87" customWidth="1"/>
    <col min="11275" max="11275" width="5.109375" style="87" customWidth="1"/>
    <col min="11276" max="11276" width="6.33203125" style="87" customWidth="1"/>
    <col min="11277" max="11277" width="7.5546875" style="87" customWidth="1"/>
    <col min="11278" max="11278" width="15.6640625" style="87" bestFit="1" customWidth="1"/>
    <col min="11279" max="11521" width="14.44140625" style="87"/>
    <col min="11522" max="11522" width="42.88671875" style="87" customWidth="1"/>
    <col min="11523" max="11523" width="16.44140625" style="87" customWidth="1"/>
    <col min="11524" max="11524" width="16.109375" style="87" customWidth="1"/>
    <col min="11525" max="11525" width="5.6640625" style="87" bestFit="1" customWidth="1"/>
    <col min="11526" max="11526" width="6" style="87" bestFit="1" customWidth="1"/>
    <col min="11527" max="11527" width="8.109375" style="87" customWidth="1"/>
    <col min="11528" max="11528" width="7" style="87" customWidth="1"/>
    <col min="11529" max="11529" width="6.5546875" style="87" customWidth="1"/>
    <col min="11530" max="11530" width="6.44140625" style="87" customWidth="1"/>
    <col min="11531" max="11531" width="5.109375" style="87" customWidth="1"/>
    <col min="11532" max="11532" width="6.33203125" style="87" customWidth="1"/>
    <col min="11533" max="11533" width="7.5546875" style="87" customWidth="1"/>
    <col min="11534" max="11534" width="15.6640625" style="87" bestFit="1" customWidth="1"/>
    <col min="11535" max="11777" width="14.44140625" style="87"/>
    <col min="11778" max="11778" width="42.88671875" style="87" customWidth="1"/>
    <col min="11779" max="11779" width="16.44140625" style="87" customWidth="1"/>
    <col min="11780" max="11780" width="16.109375" style="87" customWidth="1"/>
    <col min="11781" max="11781" width="5.6640625" style="87" bestFit="1" customWidth="1"/>
    <col min="11782" max="11782" width="6" style="87" bestFit="1" customWidth="1"/>
    <col min="11783" max="11783" width="8.109375" style="87" customWidth="1"/>
    <col min="11784" max="11784" width="7" style="87" customWidth="1"/>
    <col min="11785" max="11785" width="6.5546875" style="87" customWidth="1"/>
    <col min="11786" max="11786" width="6.44140625" style="87" customWidth="1"/>
    <col min="11787" max="11787" width="5.109375" style="87" customWidth="1"/>
    <col min="11788" max="11788" width="6.33203125" style="87" customWidth="1"/>
    <col min="11789" max="11789" width="7.5546875" style="87" customWidth="1"/>
    <col min="11790" max="11790" width="15.6640625" style="87" bestFit="1" customWidth="1"/>
    <col min="11791" max="12033" width="14.44140625" style="87"/>
    <col min="12034" max="12034" width="42.88671875" style="87" customWidth="1"/>
    <col min="12035" max="12035" width="16.44140625" style="87" customWidth="1"/>
    <col min="12036" max="12036" width="16.109375" style="87" customWidth="1"/>
    <col min="12037" max="12037" width="5.6640625" style="87" bestFit="1" customWidth="1"/>
    <col min="12038" max="12038" width="6" style="87" bestFit="1" customWidth="1"/>
    <col min="12039" max="12039" width="8.109375" style="87" customWidth="1"/>
    <col min="12040" max="12040" width="7" style="87" customWidth="1"/>
    <col min="12041" max="12041" width="6.5546875" style="87" customWidth="1"/>
    <col min="12042" max="12042" width="6.44140625" style="87" customWidth="1"/>
    <col min="12043" max="12043" width="5.109375" style="87" customWidth="1"/>
    <col min="12044" max="12044" width="6.33203125" style="87" customWidth="1"/>
    <col min="12045" max="12045" width="7.5546875" style="87" customWidth="1"/>
    <col min="12046" max="12046" width="15.6640625" style="87" bestFit="1" customWidth="1"/>
    <col min="12047" max="12289" width="14.44140625" style="87"/>
    <col min="12290" max="12290" width="42.88671875" style="87" customWidth="1"/>
    <col min="12291" max="12291" width="16.44140625" style="87" customWidth="1"/>
    <col min="12292" max="12292" width="16.109375" style="87" customWidth="1"/>
    <col min="12293" max="12293" width="5.6640625" style="87" bestFit="1" customWidth="1"/>
    <col min="12294" max="12294" width="6" style="87" bestFit="1" customWidth="1"/>
    <col min="12295" max="12295" width="8.109375" style="87" customWidth="1"/>
    <col min="12296" max="12296" width="7" style="87" customWidth="1"/>
    <col min="12297" max="12297" width="6.5546875" style="87" customWidth="1"/>
    <col min="12298" max="12298" width="6.44140625" style="87" customWidth="1"/>
    <col min="12299" max="12299" width="5.109375" style="87" customWidth="1"/>
    <col min="12300" max="12300" width="6.33203125" style="87" customWidth="1"/>
    <col min="12301" max="12301" width="7.5546875" style="87" customWidth="1"/>
    <col min="12302" max="12302" width="15.6640625" style="87" bestFit="1" customWidth="1"/>
    <col min="12303" max="12545" width="14.44140625" style="87"/>
    <col min="12546" max="12546" width="42.88671875" style="87" customWidth="1"/>
    <col min="12547" max="12547" width="16.44140625" style="87" customWidth="1"/>
    <col min="12548" max="12548" width="16.109375" style="87" customWidth="1"/>
    <col min="12549" max="12549" width="5.6640625" style="87" bestFit="1" customWidth="1"/>
    <col min="12550" max="12550" width="6" style="87" bestFit="1" customWidth="1"/>
    <col min="12551" max="12551" width="8.109375" style="87" customWidth="1"/>
    <col min="12552" max="12552" width="7" style="87" customWidth="1"/>
    <col min="12553" max="12553" width="6.5546875" style="87" customWidth="1"/>
    <col min="12554" max="12554" width="6.44140625" style="87" customWidth="1"/>
    <col min="12555" max="12555" width="5.109375" style="87" customWidth="1"/>
    <col min="12556" max="12556" width="6.33203125" style="87" customWidth="1"/>
    <col min="12557" max="12557" width="7.5546875" style="87" customWidth="1"/>
    <col min="12558" max="12558" width="15.6640625" style="87" bestFit="1" customWidth="1"/>
    <col min="12559" max="12801" width="14.44140625" style="87"/>
    <col min="12802" max="12802" width="42.88671875" style="87" customWidth="1"/>
    <col min="12803" max="12803" width="16.44140625" style="87" customWidth="1"/>
    <col min="12804" max="12804" width="16.109375" style="87" customWidth="1"/>
    <col min="12805" max="12805" width="5.6640625" style="87" bestFit="1" customWidth="1"/>
    <col min="12806" max="12806" width="6" style="87" bestFit="1" customWidth="1"/>
    <col min="12807" max="12807" width="8.109375" style="87" customWidth="1"/>
    <col min="12808" max="12808" width="7" style="87" customWidth="1"/>
    <col min="12809" max="12809" width="6.5546875" style="87" customWidth="1"/>
    <col min="12810" max="12810" width="6.44140625" style="87" customWidth="1"/>
    <col min="12811" max="12811" width="5.109375" style="87" customWidth="1"/>
    <col min="12812" max="12812" width="6.33203125" style="87" customWidth="1"/>
    <col min="12813" max="12813" width="7.5546875" style="87" customWidth="1"/>
    <col min="12814" max="12814" width="15.6640625" style="87" bestFit="1" customWidth="1"/>
    <col min="12815" max="13057" width="14.44140625" style="87"/>
    <col min="13058" max="13058" width="42.88671875" style="87" customWidth="1"/>
    <col min="13059" max="13059" width="16.44140625" style="87" customWidth="1"/>
    <col min="13060" max="13060" width="16.109375" style="87" customWidth="1"/>
    <col min="13061" max="13061" width="5.6640625" style="87" bestFit="1" customWidth="1"/>
    <col min="13062" max="13062" width="6" style="87" bestFit="1" customWidth="1"/>
    <col min="13063" max="13063" width="8.109375" style="87" customWidth="1"/>
    <col min="13064" max="13064" width="7" style="87" customWidth="1"/>
    <col min="13065" max="13065" width="6.5546875" style="87" customWidth="1"/>
    <col min="13066" max="13066" width="6.44140625" style="87" customWidth="1"/>
    <col min="13067" max="13067" width="5.109375" style="87" customWidth="1"/>
    <col min="13068" max="13068" width="6.33203125" style="87" customWidth="1"/>
    <col min="13069" max="13069" width="7.5546875" style="87" customWidth="1"/>
    <col min="13070" max="13070" width="15.6640625" style="87" bestFit="1" customWidth="1"/>
    <col min="13071" max="13313" width="14.44140625" style="87"/>
    <col min="13314" max="13314" width="42.88671875" style="87" customWidth="1"/>
    <col min="13315" max="13315" width="16.44140625" style="87" customWidth="1"/>
    <col min="13316" max="13316" width="16.109375" style="87" customWidth="1"/>
    <col min="13317" max="13317" width="5.6640625" style="87" bestFit="1" customWidth="1"/>
    <col min="13318" max="13318" width="6" style="87" bestFit="1" customWidth="1"/>
    <col min="13319" max="13319" width="8.109375" style="87" customWidth="1"/>
    <col min="13320" max="13320" width="7" style="87" customWidth="1"/>
    <col min="13321" max="13321" width="6.5546875" style="87" customWidth="1"/>
    <col min="13322" max="13322" width="6.44140625" style="87" customWidth="1"/>
    <col min="13323" max="13323" width="5.109375" style="87" customWidth="1"/>
    <col min="13324" max="13324" width="6.33203125" style="87" customWidth="1"/>
    <col min="13325" max="13325" width="7.5546875" style="87" customWidth="1"/>
    <col min="13326" max="13326" width="15.6640625" style="87" bestFit="1" customWidth="1"/>
    <col min="13327" max="13569" width="14.44140625" style="87"/>
    <col min="13570" max="13570" width="42.88671875" style="87" customWidth="1"/>
    <col min="13571" max="13571" width="16.44140625" style="87" customWidth="1"/>
    <col min="13572" max="13572" width="16.109375" style="87" customWidth="1"/>
    <col min="13573" max="13573" width="5.6640625" style="87" bestFit="1" customWidth="1"/>
    <col min="13574" max="13574" width="6" style="87" bestFit="1" customWidth="1"/>
    <col min="13575" max="13575" width="8.109375" style="87" customWidth="1"/>
    <col min="13576" max="13576" width="7" style="87" customWidth="1"/>
    <col min="13577" max="13577" width="6.5546875" style="87" customWidth="1"/>
    <col min="13578" max="13578" width="6.44140625" style="87" customWidth="1"/>
    <col min="13579" max="13579" width="5.109375" style="87" customWidth="1"/>
    <col min="13580" max="13580" width="6.33203125" style="87" customWidth="1"/>
    <col min="13581" max="13581" width="7.5546875" style="87" customWidth="1"/>
    <col min="13582" max="13582" width="15.6640625" style="87" bestFit="1" customWidth="1"/>
    <col min="13583" max="13825" width="14.44140625" style="87"/>
    <col min="13826" max="13826" width="42.88671875" style="87" customWidth="1"/>
    <col min="13827" max="13827" width="16.44140625" style="87" customWidth="1"/>
    <col min="13828" max="13828" width="16.109375" style="87" customWidth="1"/>
    <col min="13829" max="13829" width="5.6640625" style="87" bestFit="1" customWidth="1"/>
    <col min="13830" max="13830" width="6" style="87" bestFit="1" customWidth="1"/>
    <col min="13831" max="13831" width="8.109375" style="87" customWidth="1"/>
    <col min="13832" max="13832" width="7" style="87" customWidth="1"/>
    <col min="13833" max="13833" width="6.5546875" style="87" customWidth="1"/>
    <col min="13834" max="13834" width="6.44140625" style="87" customWidth="1"/>
    <col min="13835" max="13835" width="5.109375" style="87" customWidth="1"/>
    <col min="13836" max="13836" width="6.33203125" style="87" customWidth="1"/>
    <col min="13837" max="13837" width="7.5546875" style="87" customWidth="1"/>
    <col min="13838" max="13838" width="15.6640625" style="87" bestFit="1" customWidth="1"/>
    <col min="13839" max="14081" width="14.44140625" style="87"/>
    <col min="14082" max="14082" width="42.88671875" style="87" customWidth="1"/>
    <col min="14083" max="14083" width="16.44140625" style="87" customWidth="1"/>
    <col min="14084" max="14084" width="16.109375" style="87" customWidth="1"/>
    <col min="14085" max="14085" width="5.6640625" style="87" bestFit="1" customWidth="1"/>
    <col min="14086" max="14086" width="6" style="87" bestFit="1" customWidth="1"/>
    <col min="14087" max="14087" width="8.109375" style="87" customWidth="1"/>
    <col min="14088" max="14088" width="7" style="87" customWidth="1"/>
    <col min="14089" max="14089" width="6.5546875" style="87" customWidth="1"/>
    <col min="14090" max="14090" width="6.44140625" style="87" customWidth="1"/>
    <col min="14091" max="14091" width="5.109375" style="87" customWidth="1"/>
    <col min="14092" max="14092" width="6.33203125" style="87" customWidth="1"/>
    <col min="14093" max="14093" width="7.5546875" style="87" customWidth="1"/>
    <col min="14094" max="14094" width="15.6640625" style="87" bestFit="1" customWidth="1"/>
    <col min="14095" max="14337" width="14.44140625" style="87"/>
    <col min="14338" max="14338" width="42.88671875" style="87" customWidth="1"/>
    <col min="14339" max="14339" width="16.44140625" style="87" customWidth="1"/>
    <col min="14340" max="14340" width="16.109375" style="87" customWidth="1"/>
    <col min="14341" max="14341" width="5.6640625" style="87" bestFit="1" customWidth="1"/>
    <col min="14342" max="14342" width="6" style="87" bestFit="1" customWidth="1"/>
    <col min="14343" max="14343" width="8.109375" style="87" customWidth="1"/>
    <col min="14344" max="14344" width="7" style="87" customWidth="1"/>
    <col min="14345" max="14345" width="6.5546875" style="87" customWidth="1"/>
    <col min="14346" max="14346" width="6.44140625" style="87" customWidth="1"/>
    <col min="14347" max="14347" width="5.109375" style="87" customWidth="1"/>
    <col min="14348" max="14348" width="6.33203125" style="87" customWidth="1"/>
    <col min="14349" max="14349" width="7.5546875" style="87" customWidth="1"/>
    <col min="14350" max="14350" width="15.6640625" style="87" bestFit="1" customWidth="1"/>
    <col min="14351" max="14593" width="14.44140625" style="87"/>
    <col min="14594" max="14594" width="42.88671875" style="87" customWidth="1"/>
    <col min="14595" max="14595" width="16.44140625" style="87" customWidth="1"/>
    <col min="14596" max="14596" width="16.109375" style="87" customWidth="1"/>
    <col min="14597" max="14597" width="5.6640625" style="87" bestFit="1" customWidth="1"/>
    <col min="14598" max="14598" width="6" style="87" bestFit="1" customWidth="1"/>
    <col min="14599" max="14599" width="8.109375" style="87" customWidth="1"/>
    <col min="14600" max="14600" width="7" style="87" customWidth="1"/>
    <col min="14601" max="14601" width="6.5546875" style="87" customWidth="1"/>
    <col min="14602" max="14602" width="6.44140625" style="87" customWidth="1"/>
    <col min="14603" max="14603" width="5.109375" style="87" customWidth="1"/>
    <col min="14604" max="14604" width="6.33203125" style="87" customWidth="1"/>
    <col min="14605" max="14605" width="7.5546875" style="87" customWidth="1"/>
    <col min="14606" max="14606" width="15.6640625" style="87" bestFit="1" customWidth="1"/>
    <col min="14607" max="14849" width="14.44140625" style="87"/>
    <col min="14850" max="14850" width="42.88671875" style="87" customWidth="1"/>
    <col min="14851" max="14851" width="16.44140625" style="87" customWidth="1"/>
    <col min="14852" max="14852" width="16.109375" style="87" customWidth="1"/>
    <col min="14853" max="14853" width="5.6640625" style="87" bestFit="1" customWidth="1"/>
    <col min="14854" max="14854" width="6" style="87" bestFit="1" customWidth="1"/>
    <col min="14855" max="14855" width="8.109375" style="87" customWidth="1"/>
    <col min="14856" max="14856" width="7" style="87" customWidth="1"/>
    <col min="14857" max="14857" width="6.5546875" style="87" customWidth="1"/>
    <col min="14858" max="14858" width="6.44140625" style="87" customWidth="1"/>
    <col min="14859" max="14859" width="5.109375" style="87" customWidth="1"/>
    <col min="14860" max="14860" width="6.33203125" style="87" customWidth="1"/>
    <col min="14861" max="14861" width="7.5546875" style="87" customWidth="1"/>
    <col min="14862" max="14862" width="15.6640625" style="87" bestFit="1" customWidth="1"/>
    <col min="14863" max="15105" width="14.44140625" style="87"/>
    <col min="15106" max="15106" width="42.88671875" style="87" customWidth="1"/>
    <col min="15107" max="15107" width="16.44140625" style="87" customWidth="1"/>
    <col min="15108" max="15108" width="16.109375" style="87" customWidth="1"/>
    <col min="15109" max="15109" width="5.6640625" style="87" bestFit="1" customWidth="1"/>
    <col min="15110" max="15110" width="6" style="87" bestFit="1" customWidth="1"/>
    <col min="15111" max="15111" width="8.109375" style="87" customWidth="1"/>
    <col min="15112" max="15112" width="7" style="87" customWidth="1"/>
    <col min="15113" max="15113" width="6.5546875" style="87" customWidth="1"/>
    <col min="15114" max="15114" width="6.44140625" style="87" customWidth="1"/>
    <col min="15115" max="15115" width="5.109375" style="87" customWidth="1"/>
    <col min="15116" max="15116" width="6.33203125" style="87" customWidth="1"/>
    <col min="15117" max="15117" width="7.5546875" style="87" customWidth="1"/>
    <col min="15118" max="15118" width="15.6640625" style="87" bestFit="1" customWidth="1"/>
    <col min="15119" max="15361" width="14.44140625" style="87"/>
    <col min="15362" max="15362" width="42.88671875" style="87" customWidth="1"/>
    <col min="15363" max="15363" width="16.44140625" style="87" customWidth="1"/>
    <col min="15364" max="15364" width="16.109375" style="87" customWidth="1"/>
    <col min="15365" max="15365" width="5.6640625" style="87" bestFit="1" customWidth="1"/>
    <col min="15366" max="15366" width="6" style="87" bestFit="1" customWidth="1"/>
    <col min="15367" max="15367" width="8.109375" style="87" customWidth="1"/>
    <col min="15368" max="15368" width="7" style="87" customWidth="1"/>
    <col min="15369" max="15369" width="6.5546875" style="87" customWidth="1"/>
    <col min="15370" max="15370" width="6.44140625" style="87" customWidth="1"/>
    <col min="15371" max="15371" width="5.109375" style="87" customWidth="1"/>
    <col min="15372" max="15372" width="6.33203125" style="87" customWidth="1"/>
    <col min="15373" max="15373" width="7.5546875" style="87" customWidth="1"/>
    <col min="15374" max="15374" width="15.6640625" style="87" bestFit="1" customWidth="1"/>
    <col min="15375" max="15617" width="14.44140625" style="87"/>
    <col min="15618" max="15618" width="42.88671875" style="87" customWidth="1"/>
    <col min="15619" max="15619" width="16.44140625" style="87" customWidth="1"/>
    <col min="15620" max="15620" width="16.109375" style="87" customWidth="1"/>
    <col min="15621" max="15621" width="5.6640625" style="87" bestFit="1" customWidth="1"/>
    <col min="15622" max="15622" width="6" style="87" bestFit="1" customWidth="1"/>
    <col min="15623" max="15623" width="8.109375" style="87" customWidth="1"/>
    <col min="15624" max="15624" width="7" style="87" customWidth="1"/>
    <col min="15625" max="15625" width="6.5546875" style="87" customWidth="1"/>
    <col min="15626" max="15626" width="6.44140625" style="87" customWidth="1"/>
    <col min="15627" max="15627" width="5.109375" style="87" customWidth="1"/>
    <col min="15628" max="15628" width="6.33203125" style="87" customWidth="1"/>
    <col min="15629" max="15629" width="7.5546875" style="87" customWidth="1"/>
    <col min="15630" max="15630" width="15.6640625" style="87" bestFit="1" customWidth="1"/>
    <col min="15631" max="15873" width="14.44140625" style="87"/>
    <col min="15874" max="15874" width="42.88671875" style="87" customWidth="1"/>
    <col min="15875" max="15875" width="16.44140625" style="87" customWidth="1"/>
    <col min="15876" max="15876" width="16.109375" style="87" customWidth="1"/>
    <col min="15877" max="15877" width="5.6640625" style="87" bestFit="1" customWidth="1"/>
    <col min="15878" max="15878" width="6" style="87" bestFit="1" customWidth="1"/>
    <col min="15879" max="15879" width="8.109375" style="87" customWidth="1"/>
    <col min="15880" max="15880" width="7" style="87" customWidth="1"/>
    <col min="15881" max="15881" width="6.5546875" style="87" customWidth="1"/>
    <col min="15882" max="15882" width="6.44140625" style="87" customWidth="1"/>
    <col min="15883" max="15883" width="5.109375" style="87" customWidth="1"/>
    <col min="15884" max="15884" width="6.33203125" style="87" customWidth="1"/>
    <col min="15885" max="15885" width="7.5546875" style="87" customWidth="1"/>
    <col min="15886" max="15886" width="15.6640625" style="87" bestFit="1" customWidth="1"/>
    <col min="15887" max="16129" width="14.44140625" style="87"/>
    <col min="16130" max="16130" width="42.88671875" style="87" customWidth="1"/>
    <col min="16131" max="16131" width="16.44140625" style="87" customWidth="1"/>
    <col min="16132" max="16132" width="16.109375" style="87" customWidth="1"/>
    <col min="16133" max="16133" width="5.6640625" style="87" bestFit="1" customWidth="1"/>
    <col min="16134" max="16134" width="6" style="87" bestFit="1" customWidth="1"/>
    <col min="16135" max="16135" width="8.109375" style="87" customWidth="1"/>
    <col min="16136" max="16136" width="7" style="87" customWidth="1"/>
    <col min="16137" max="16137" width="6.5546875" style="87" customWidth="1"/>
    <col min="16138" max="16138" width="6.44140625" style="87" customWidth="1"/>
    <col min="16139" max="16139" width="5.109375" style="87" customWidth="1"/>
    <col min="16140" max="16140" width="6.33203125" style="87" customWidth="1"/>
    <col min="16141" max="16141" width="7.5546875" style="87" customWidth="1"/>
    <col min="16142" max="16142" width="15.6640625" style="87" bestFit="1" customWidth="1"/>
    <col min="16143" max="16384" width="14.44140625" style="87"/>
  </cols>
  <sheetData>
    <row r="2" spans="1:18">
      <c r="C2" s="104" t="s">
        <v>183</v>
      </c>
    </row>
    <row r="3" spans="1:18">
      <c r="C3" s="87" t="s">
        <v>225</v>
      </c>
    </row>
    <row r="4" spans="1:18">
      <c r="C4" s="17" t="s">
        <v>221</v>
      </c>
    </row>
    <row r="5" spans="1:18">
      <c r="C5" s="147" t="s">
        <v>220</v>
      </c>
    </row>
    <row r="7" spans="1:18" s="85" customFormat="1">
      <c r="A7" s="84" t="s">
        <v>163</v>
      </c>
      <c r="B7" s="84" t="s">
        <v>7</v>
      </c>
      <c r="C7" s="84" t="s">
        <v>78</v>
      </c>
      <c r="D7" s="84" t="s">
        <v>164</v>
      </c>
      <c r="E7" s="84"/>
      <c r="G7" s="106" t="s">
        <v>131</v>
      </c>
    </row>
    <row r="8" spans="1:18">
      <c r="A8" s="86" t="s">
        <v>144</v>
      </c>
      <c r="B8" s="86"/>
      <c r="C8" s="149" t="s">
        <v>231</v>
      </c>
      <c r="F8" s="87" t="s">
        <v>232</v>
      </c>
    </row>
    <row r="9" spans="1:18" s="88" customFormat="1">
      <c r="B9" s="88" t="s">
        <v>165</v>
      </c>
      <c r="C9" s="89" t="s">
        <v>12</v>
      </c>
      <c r="D9" s="89" t="s">
        <v>146</v>
      </c>
      <c r="E9" s="89" t="s">
        <v>147</v>
      </c>
      <c r="F9" s="89" t="s">
        <v>148</v>
      </c>
      <c r="G9" s="89" t="s">
        <v>149</v>
      </c>
      <c r="H9" s="89" t="s">
        <v>150</v>
      </c>
      <c r="I9" s="89" t="s">
        <v>151</v>
      </c>
      <c r="J9" s="89" t="s">
        <v>152</v>
      </c>
      <c r="K9" s="89" t="s">
        <v>153</v>
      </c>
      <c r="L9" s="89" t="s">
        <v>154</v>
      </c>
      <c r="M9" s="89" t="s">
        <v>155</v>
      </c>
      <c r="N9" s="89" t="s">
        <v>156</v>
      </c>
      <c r="O9" s="89" t="s">
        <v>157</v>
      </c>
      <c r="P9" s="89" t="s">
        <v>158</v>
      </c>
      <c r="Q9" s="89" t="s">
        <v>159</v>
      </c>
    </row>
    <row r="10" spans="1:18" s="90" customFormat="1">
      <c r="A10" s="90" t="s">
        <v>166</v>
      </c>
      <c r="C10" s="90">
        <v>74815149</v>
      </c>
      <c r="D10" s="90">
        <f>SUM(F10:Q10)</f>
        <v>87481514</v>
      </c>
      <c r="E10" s="91">
        <f>IFERROR(D10/C10,"")</f>
        <v>1.1693021422706784</v>
      </c>
      <c r="O10" s="90">
        <v>43740757</v>
      </c>
      <c r="P10" s="90">
        <f>O10</f>
        <v>43740757</v>
      </c>
    </row>
    <row r="11" spans="1:18">
      <c r="A11" s="92"/>
      <c r="B11" s="92"/>
      <c r="C11" s="92"/>
      <c r="D11" s="92"/>
      <c r="E11" s="92"/>
    </row>
    <row r="12" spans="1:18" s="104" customFormat="1">
      <c r="A12" s="150" t="s">
        <v>160</v>
      </c>
      <c r="B12" s="150"/>
      <c r="C12" s="151"/>
      <c r="D12" s="152">
        <f t="shared" ref="D12:D19" si="0">SUM(F12:Q12)</f>
        <v>0</v>
      </c>
      <c r="E12" s="153" t="str">
        <f t="shared" ref="E12:E23" si="1">IFERROR(D12/C12,"")</f>
        <v/>
      </c>
      <c r="F12" s="154"/>
    </row>
    <row r="13" spans="1:18">
      <c r="A13" s="155" t="s">
        <v>226</v>
      </c>
      <c r="B13" s="93"/>
      <c r="C13" s="92">
        <v>269102469</v>
      </c>
      <c r="D13" s="94">
        <f>SUM(F13:Q13)</f>
        <v>469102469</v>
      </c>
      <c r="E13" s="95">
        <f t="shared" si="1"/>
        <v>1.7432113155379485</v>
      </c>
      <c r="F13" s="96"/>
      <c r="G13" s="87">
        <v>200000000</v>
      </c>
      <c r="N13" s="87">
        <v>22000000</v>
      </c>
      <c r="O13" s="87">
        <v>17598000</v>
      </c>
      <c r="P13" s="87">
        <f>247102469-O13</f>
        <v>229504469</v>
      </c>
      <c r="R13" s="87" t="s">
        <v>257</v>
      </c>
    </row>
    <row r="14" spans="1:18">
      <c r="A14" s="155" t="s">
        <v>227</v>
      </c>
      <c r="B14" s="93"/>
      <c r="C14" s="92">
        <v>241811000</v>
      </c>
      <c r="D14" s="94">
        <f t="shared" si="0"/>
        <v>241811000</v>
      </c>
      <c r="E14" s="95">
        <f>IFERROR(D14/C14,"")</f>
        <v>1</v>
      </c>
      <c r="F14" s="96"/>
      <c r="N14" s="87">
        <v>97715409</v>
      </c>
      <c r="O14" s="87">
        <v>104816915</v>
      </c>
      <c r="P14" s="87">
        <f>144095591-O14</f>
        <v>39278676</v>
      </c>
    </row>
    <row r="15" spans="1:18">
      <c r="A15" s="155" t="s">
        <v>228</v>
      </c>
      <c r="B15" s="93"/>
      <c r="C15" s="92"/>
      <c r="D15" s="94">
        <f>SUM(F15:Q15)</f>
        <v>8000000</v>
      </c>
      <c r="E15" s="95" t="str">
        <f>IFERROR(D15/C15,"")</f>
        <v/>
      </c>
      <c r="F15" s="96"/>
      <c r="O15" s="87">
        <v>8000000</v>
      </c>
    </row>
    <row r="16" spans="1:18">
      <c r="A16" s="93"/>
      <c r="B16" s="93"/>
      <c r="C16" s="92"/>
      <c r="D16" s="94">
        <f t="shared" si="0"/>
        <v>0</v>
      </c>
      <c r="E16" s="95" t="str">
        <f>IFERROR(D16/C16,"")</f>
        <v/>
      </c>
      <c r="F16" s="96"/>
    </row>
    <row r="17" spans="1:17">
      <c r="A17" s="93"/>
      <c r="B17" s="93"/>
      <c r="C17" s="92"/>
      <c r="D17" s="94">
        <f t="shared" si="0"/>
        <v>0</v>
      </c>
      <c r="E17" s="95" t="str">
        <f t="shared" si="1"/>
        <v/>
      </c>
      <c r="F17" s="96"/>
    </row>
    <row r="18" spans="1:17">
      <c r="A18" s="93"/>
      <c r="B18" s="93"/>
      <c r="C18" s="92"/>
      <c r="D18" s="94">
        <f t="shared" si="0"/>
        <v>0</v>
      </c>
      <c r="E18" s="95" t="str">
        <f t="shared" si="1"/>
        <v/>
      </c>
      <c r="F18" s="96"/>
    </row>
    <row r="19" spans="1:17" s="149" customFormat="1" ht="15" customHeight="1">
      <c r="A19" s="156" t="s">
        <v>229</v>
      </c>
      <c r="B19" s="156"/>
      <c r="C19" s="157">
        <f>(C10/1.1)*0.1</f>
        <v>6801377.1818181816</v>
      </c>
      <c r="D19" s="158">
        <f t="shared" si="0"/>
        <v>79528649.909090906</v>
      </c>
      <c r="E19" s="159">
        <f t="shared" si="1"/>
        <v>11.693021543003276</v>
      </c>
      <c r="Q19" s="149">
        <v>79528649.909090906</v>
      </c>
    </row>
    <row r="20" spans="1:17" ht="15" customHeight="1">
      <c r="A20" s="93"/>
      <c r="B20" s="93"/>
      <c r="C20" s="97"/>
      <c r="D20" s="94">
        <f>SUM(F20:L20)</f>
        <v>0</v>
      </c>
      <c r="E20" s="95" t="str">
        <f t="shared" si="1"/>
        <v/>
      </c>
    </row>
    <row r="21" spans="1:17">
      <c r="A21" s="98"/>
      <c r="B21" s="98"/>
      <c r="C21" s="97"/>
      <c r="D21" s="94">
        <f>SUM(F21:L21)</f>
        <v>0</v>
      </c>
      <c r="E21" s="95" t="str">
        <f t="shared" si="1"/>
        <v/>
      </c>
    </row>
    <row r="22" spans="1:17" s="162" customFormat="1">
      <c r="A22" s="160" t="s">
        <v>230</v>
      </c>
      <c r="B22" s="160"/>
      <c r="C22" s="160"/>
      <c r="D22" s="157"/>
      <c r="E22" s="161" t="str">
        <f t="shared" si="1"/>
        <v/>
      </c>
    </row>
    <row r="23" spans="1:17" s="102" customFormat="1">
      <c r="A23" s="99" t="s">
        <v>161</v>
      </c>
      <c r="B23" s="99"/>
      <c r="C23" s="100">
        <f>SUM(C11:C21)</f>
        <v>517714846.18181819</v>
      </c>
      <c r="D23" s="100">
        <f>SUM(D11:D21)</f>
        <v>798442118.90909088</v>
      </c>
      <c r="E23" s="101">
        <f t="shared" si="1"/>
        <v>1.5422430413144519</v>
      </c>
      <c r="F23" s="102">
        <f t="shared" ref="F23:Q23" si="2">SUM(F11:F22)</f>
        <v>0</v>
      </c>
      <c r="G23" s="102">
        <f t="shared" si="2"/>
        <v>200000000</v>
      </c>
      <c r="H23" s="102">
        <f t="shared" si="2"/>
        <v>0</v>
      </c>
      <c r="I23" s="102">
        <f t="shared" si="2"/>
        <v>0</v>
      </c>
      <c r="J23" s="102">
        <f t="shared" si="2"/>
        <v>0</v>
      </c>
      <c r="K23" s="102">
        <f t="shared" si="2"/>
        <v>0</v>
      </c>
      <c r="L23" s="102">
        <f t="shared" si="2"/>
        <v>0</v>
      </c>
      <c r="M23" s="102">
        <f t="shared" si="2"/>
        <v>0</v>
      </c>
      <c r="N23" s="102">
        <f t="shared" si="2"/>
        <v>119715409</v>
      </c>
      <c r="O23" s="102">
        <f t="shared" si="2"/>
        <v>130414915</v>
      </c>
      <c r="P23" s="102">
        <f t="shared" si="2"/>
        <v>268783145</v>
      </c>
      <c r="Q23" s="102">
        <f t="shared" si="2"/>
        <v>79528649.909090906</v>
      </c>
    </row>
    <row r="25" spans="1:17" s="102" customFormat="1">
      <c r="A25" s="102" t="s">
        <v>162</v>
      </c>
      <c r="C25" s="102">
        <f>C10-C23</f>
        <v>-442899697.18181819</v>
      </c>
      <c r="D25" s="102">
        <f>D10-D23</f>
        <v>-710960604.90909088</v>
      </c>
      <c r="E25" s="101">
        <f>IFERROR(D25/C25,"")</f>
        <v>1.605240666076204</v>
      </c>
      <c r="F25" s="102">
        <f t="shared" ref="F25:Q25" si="3">F10-F23</f>
        <v>0</v>
      </c>
      <c r="G25" s="102">
        <f t="shared" si="3"/>
        <v>-200000000</v>
      </c>
      <c r="H25" s="102">
        <f t="shared" si="3"/>
        <v>0</v>
      </c>
      <c r="I25" s="102">
        <f t="shared" si="3"/>
        <v>0</v>
      </c>
      <c r="J25" s="102">
        <f t="shared" si="3"/>
        <v>0</v>
      </c>
      <c r="K25" s="102">
        <f t="shared" si="3"/>
        <v>0</v>
      </c>
      <c r="L25" s="102">
        <f t="shared" si="3"/>
        <v>0</v>
      </c>
      <c r="M25" s="102">
        <f t="shared" si="3"/>
        <v>0</v>
      </c>
      <c r="N25" s="102">
        <f t="shared" si="3"/>
        <v>-119715409</v>
      </c>
      <c r="O25" s="102">
        <f t="shared" si="3"/>
        <v>-86674158</v>
      </c>
      <c r="P25" s="102">
        <f t="shared" si="3"/>
        <v>-225042388</v>
      </c>
      <c r="Q25" s="102">
        <f t="shared" si="3"/>
        <v>-79528649.909090906</v>
      </c>
    </row>
    <row r="26" spans="1:17" s="104" customFormat="1">
      <c r="A26" s="103" t="s">
        <v>233</v>
      </c>
      <c r="B26" s="103"/>
      <c r="E26" s="105"/>
      <c r="F26" s="104">
        <f>F25</f>
        <v>0</v>
      </c>
      <c r="G26" s="104">
        <f t="shared" ref="G26:Q26" si="4">F26+G25</f>
        <v>-200000000</v>
      </c>
      <c r="H26" s="104">
        <f t="shared" si="4"/>
        <v>-200000000</v>
      </c>
      <c r="I26" s="104">
        <f t="shared" si="4"/>
        <v>-200000000</v>
      </c>
      <c r="J26" s="104">
        <f t="shared" si="4"/>
        <v>-200000000</v>
      </c>
      <c r="K26" s="104">
        <f t="shared" si="4"/>
        <v>-200000000</v>
      </c>
      <c r="L26" s="104">
        <f t="shared" si="4"/>
        <v>-200000000</v>
      </c>
      <c r="M26" s="104">
        <f t="shared" si="4"/>
        <v>-200000000</v>
      </c>
      <c r="N26" s="104">
        <f t="shared" si="4"/>
        <v>-319715409</v>
      </c>
      <c r="O26" s="104">
        <f t="shared" si="4"/>
        <v>-406389567</v>
      </c>
      <c r="P26" s="104">
        <f t="shared" si="4"/>
        <v>-631431955</v>
      </c>
      <c r="Q26" s="104">
        <f t="shared" si="4"/>
        <v>-710960604.90909088</v>
      </c>
    </row>
  </sheetData>
  <conditionalFormatting sqref="C25:D25 F25:L25">
    <cfRule type="cellIs" dxfId="17" priority="2" operator="lessThan">
      <formula>0</formula>
    </cfRule>
  </conditionalFormatting>
  <conditionalFormatting sqref="C25:D25">
    <cfRule type="cellIs" dxfId="16" priority="1" operator="lessThan">
      <formula>0</formula>
    </cfRule>
  </conditionalFormatting>
  <hyperlinks>
    <hyperlink ref="G7" location="'List of reports'!A1" display="Trở về" xr:uid="{2FDD585F-66DC-4710-B3FA-F5C8907B39BC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EC44-5FD0-4168-9032-EDB860DE73F4}">
  <dimension ref="A1:N36"/>
  <sheetViews>
    <sheetView zoomScale="85" zoomScaleNormal="85" workbookViewId="0">
      <selection activeCell="C10" sqref="C10"/>
    </sheetView>
  </sheetViews>
  <sheetFormatPr defaultColWidth="8.88671875" defaultRowHeight="13.8"/>
  <cols>
    <col min="1" max="1" width="16" style="16" customWidth="1"/>
    <col min="2" max="2" width="12.44140625" style="17" customWidth="1"/>
    <col min="3" max="3" width="16.109375" style="21" customWidth="1"/>
    <col min="4" max="4" width="12.44140625" style="17" customWidth="1"/>
    <col min="5" max="5" width="14.6640625" style="17" customWidth="1"/>
    <col min="6" max="6" width="17.109375" style="17" customWidth="1"/>
    <col min="7" max="7" width="14.44140625" style="18" customWidth="1"/>
    <col min="8" max="9" width="16.44140625" style="18" bestFit="1" customWidth="1"/>
    <col min="10" max="10" width="16.44140625" style="18" customWidth="1"/>
    <col min="11" max="11" width="16.44140625" style="18" bestFit="1" customWidth="1"/>
    <col min="12" max="13" width="16.44140625" style="18" customWidth="1"/>
    <col min="14" max="14" width="16.44140625" style="18" bestFit="1" customWidth="1"/>
    <col min="15" max="255" width="8.88671875" style="20"/>
    <col min="256" max="256" width="16" style="20" customWidth="1"/>
    <col min="257" max="257" width="12.44140625" style="20" customWidth="1"/>
    <col min="258" max="258" width="17.109375" style="20" customWidth="1"/>
    <col min="259" max="259" width="14.6640625" style="20" customWidth="1"/>
    <col min="260" max="260" width="22.88671875" style="20" customWidth="1"/>
    <col min="261" max="262" width="14.44140625" style="20" customWidth="1"/>
    <col min="263" max="264" width="16.44140625" style="20" bestFit="1" customWidth="1"/>
    <col min="265" max="266" width="16.44140625" style="20" customWidth="1"/>
    <col min="267" max="267" width="29.109375" style="20" customWidth="1"/>
    <col min="268" max="268" width="33" style="20" customWidth="1"/>
    <col min="269" max="269" width="61.44140625" style="20" bestFit="1" customWidth="1"/>
    <col min="270" max="511" width="8.88671875" style="20"/>
    <col min="512" max="512" width="16" style="20" customWidth="1"/>
    <col min="513" max="513" width="12.44140625" style="20" customWidth="1"/>
    <col min="514" max="514" width="17.109375" style="20" customWidth="1"/>
    <col min="515" max="515" width="14.6640625" style="20" customWidth="1"/>
    <col min="516" max="516" width="22.88671875" style="20" customWidth="1"/>
    <col min="517" max="518" width="14.44140625" style="20" customWidth="1"/>
    <col min="519" max="520" width="16.44140625" style="20" bestFit="1" customWidth="1"/>
    <col min="521" max="522" width="16.44140625" style="20" customWidth="1"/>
    <col min="523" max="523" width="29.109375" style="20" customWidth="1"/>
    <col min="524" max="524" width="33" style="20" customWidth="1"/>
    <col min="525" max="525" width="61.44140625" style="20" bestFit="1" customWidth="1"/>
    <col min="526" max="767" width="8.88671875" style="20"/>
    <col min="768" max="768" width="16" style="20" customWidth="1"/>
    <col min="769" max="769" width="12.44140625" style="20" customWidth="1"/>
    <col min="770" max="770" width="17.109375" style="20" customWidth="1"/>
    <col min="771" max="771" width="14.6640625" style="20" customWidth="1"/>
    <col min="772" max="772" width="22.88671875" style="20" customWidth="1"/>
    <col min="773" max="774" width="14.44140625" style="20" customWidth="1"/>
    <col min="775" max="776" width="16.44140625" style="20" bestFit="1" customWidth="1"/>
    <col min="777" max="778" width="16.44140625" style="20" customWidth="1"/>
    <col min="779" max="779" width="29.109375" style="20" customWidth="1"/>
    <col min="780" max="780" width="33" style="20" customWidth="1"/>
    <col min="781" max="781" width="61.44140625" style="20" bestFit="1" customWidth="1"/>
    <col min="782" max="1023" width="8.88671875" style="20"/>
    <col min="1024" max="1024" width="16" style="20" customWidth="1"/>
    <col min="1025" max="1025" width="12.44140625" style="20" customWidth="1"/>
    <col min="1026" max="1026" width="17.109375" style="20" customWidth="1"/>
    <col min="1027" max="1027" width="14.6640625" style="20" customWidth="1"/>
    <col min="1028" max="1028" width="22.88671875" style="20" customWidth="1"/>
    <col min="1029" max="1030" width="14.44140625" style="20" customWidth="1"/>
    <col min="1031" max="1032" width="16.44140625" style="20" bestFit="1" customWidth="1"/>
    <col min="1033" max="1034" width="16.44140625" style="20" customWidth="1"/>
    <col min="1035" max="1035" width="29.109375" style="20" customWidth="1"/>
    <col min="1036" max="1036" width="33" style="20" customWidth="1"/>
    <col min="1037" max="1037" width="61.44140625" style="20" bestFit="1" customWidth="1"/>
    <col min="1038" max="1279" width="8.88671875" style="20"/>
    <col min="1280" max="1280" width="16" style="20" customWidth="1"/>
    <col min="1281" max="1281" width="12.44140625" style="20" customWidth="1"/>
    <col min="1282" max="1282" width="17.109375" style="20" customWidth="1"/>
    <col min="1283" max="1283" width="14.6640625" style="20" customWidth="1"/>
    <col min="1284" max="1284" width="22.88671875" style="20" customWidth="1"/>
    <col min="1285" max="1286" width="14.44140625" style="20" customWidth="1"/>
    <col min="1287" max="1288" width="16.44140625" style="20" bestFit="1" customWidth="1"/>
    <col min="1289" max="1290" width="16.44140625" style="20" customWidth="1"/>
    <col min="1291" max="1291" width="29.109375" style="20" customWidth="1"/>
    <col min="1292" max="1292" width="33" style="20" customWidth="1"/>
    <col min="1293" max="1293" width="61.44140625" style="20" bestFit="1" customWidth="1"/>
    <col min="1294" max="1535" width="8.88671875" style="20"/>
    <col min="1536" max="1536" width="16" style="20" customWidth="1"/>
    <col min="1537" max="1537" width="12.44140625" style="20" customWidth="1"/>
    <col min="1538" max="1538" width="17.109375" style="20" customWidth="1"/>
    <col min="1539" max="1539" width="14.6640625" style="20" customWidth="1"/>
    <col min="1540" max="1540" width="22.88671875" style="20" customWidth="1"/>
    <col min="1541" max="1542" width="14.44140625" style="20" customWidth="1"/>
    <col min="1543" max="1544" width="16.44140625" style="20" bestFit="1" customWidth="1"/>
    <col min="1545" max="1546" width="16.44140625" style="20" customWidth="1"/>
    <col min="1547" max="1547" width="29.109375" style="20" customWidth="1"/>
    <col min="1548" max="1548" width="33" style="20" customWidth="1"/>
    <col min="1549" max="1549" width="61.44140625" style="20" bestFit="1" customWidth="1"/>
    <col min="1550" max="1791" width="8.88671875" style="20"/>
    <col min="1792" max="1792" width="16" style="20" customWidth="1"/>
    <col min="1793" max="1793" width="12.44140625" style="20" customWidth="1"/>
    <col min="1794" max="1794" width="17.109375" style="20" customWidth="1"/>
    <col min="1795" max="1795" width="14.6640625" style="20" customWidth="1"/>
    <col min="1796" max="1796" width="22.88671875" style="20" customWidth="1"/>
    <col min="1797" max="1798" width="14.44140625" style="20" customWidth="1"/>
    <col min="1799" max="1800" width="16.44140625" style="20" bestFit="1" customWidth="1"/>
    <col min="1801" max="1802" width="16.44140625" style="20" customWidth="1"/>
    <col min="1803" max="1803" width="29.109375" style="20" customWidth="1"/>
    <col min="1804" max="1804" width="33" style="20" customWidth="1"/>
    <col min="1805" max="1805" width="61.44140625" style="20" bestFit="1" customWidth="1"/>
    <col min="1806" max="2047" width="8.88671875" style="20"/>
    <col min="2048" max="2048" width="16" style="20" customWidth="1"/>
    <col min="2049" max="2049" width="12.44140625" style="20" customWidth="1"/>
    <col min="2050" max="2050" width="17.109375" style="20" customWidth="1"/>
    <col min="2051" max="2051" width="14.6640625" style="20" customWidth="1"/>
    <col min="2052" max="2052" width="22.88671875" style="20" customWidth="1"/>
    <col min="2053" max="2054" width="14.44140625" style="20" customWidth="1"/>
    <col min="2055" max="2056" width="16.44140625" style="20" bestFit="1" customWidth="1"/>
    <col min="2057" max="2058" width="16.44140625" style="20" customWidth="1"/>
    <col min="2059" max="2059" width="29.109375" style="20" customWidth="1"/>
    <col min="2060" max="2060" width="33" style="20" customWidth="1"/>
    <col min="2061" max="2061" width="61.44140625" style="20" bestFit="1" customWidth="1"/>
    <col min="2062" max="2303" width="8.88671875" style="20"/>
    <col min="2304" max="2304" width="16" style="20" customWidth="1"/>
    <col min="2305" max="2305" width="12.44140625" style="20" customWidth="1"/>
    <col min="2306" max="2306" width="17.109375" style="20" customWidth="1"/>
    <col min="2307" max="2307" width="14.6640625" style="20" customWidth="1"/>
    <col min="2308" max="2308" width="22.88671875" style="20" customWidth="1"/>
    <col min="2309" max="2310" width="14.44140625" style="20" customWidth="1"/>
    <col min="2311" max="2312" width="16.44140625" style="20" bestFit="1" customWidth="1"/>
    <col min="2313" max="2314" width="16.44140625" style="20" customWidth="1"/>
    <col min="2315" max="2315" width="29.109375" style="20" customWidth="1"/>
    <col min="2316" max="2316" width="33" style="20" customWidth="1"/>
    <col min="2317" max="2317" width="61.44140625" style="20" bestFit="1" customWidth="1"/>
    <col min="2318" max="2559" width="8.88671875" style="20"/>
    <col min="2560" max="2560" width="16" style="20" customWidth="1"/>
    <col min="2561" max="2561" width="12.44140625" style="20" customWidth="1"/>
    <col min="2562" max="2562" width="17.109375" style="20" customWidth="1"/>
    <col min="2563" max="2563" width="14.6640625" style="20" customWidth="1"/>
    <col min="2564" max="2564" width="22.88671875" style="20" customWidth="1"/>
    <col min="2565" max="2566" width="14.44140625" style="20" customWidth="1"/>
    <col min="2567" max="2568" width="16.44140625" style="20" bestFit="1" customWidth="1"/>
    <col min="2569" max="2570" width="16.44140625" style="20" customWidth="1"/>
    <col min="2571" max="2571" width="29.109375" style="20" customWidth="1"/>
    <col min="2572" max="2572" width="33" style="20" customWidth="1"/>
    <col min="2573" max="2573" width="61.44140625" style="20" bestFit="1" customWidth="1"/>
    <col min="2574" max="2815" width="8.88671875" style="20"/>
    <col min="2816" max="2816" width="16" style="20" customWidth="1"/>
    <col min="2817" max="2817" width="12.44140625" style="20" customWidth="1"/>
    <col min="2818" max="2818" width="17.109375" style="20" customWidth="1"/>
    <col min="2819" max="2819" width="14.6640625" style="20" customWidth="1"/>
    <col min="2820" max="2820" width="22.88671875" style="20" customWidth="1"/>
    <col min="2821" max="2822" width="14.44140625" style="20" customWidth="1"/>
    <col min="2823" max="2824" width="16.44140625" style="20" bestFit="1" customWidth="1"/>
    <col min="2825" max="2826" width="16.44140625" style="20" customWidth="1"/>
    <col min="2827" max="2827" width="29.109375" style="20" customWidth="1"/>
    <col min="2828" max="2828" width="33" style="20" customWidth="1"/>
    <col min="2829" max="2829" width="61.44140625" style="20" bestFit="1" customWidth="1"/>
    <col min="2830" max="3071" width="8.88671875" style="20"/>
    <col min="3072" max="3072" width="16" style="20" customWidth="1"/>
    <col min="3073" max="3073" width="12.44140625" style="20" customWidth="1"/>
    <col min="3074" max="3074" width="17.109375" style="20" customWidth="1"/>
    <col min="3075" max="3075" width="14.6640625" style="20" customWidth="1"/>
    <col min="3076" max="3076" width="22.88671875" style="20" customWidth="1"/>
    <col min="3077" max="3078" width="14.44140625" style="20" customWidth="1"/>
    <col min="3079" max="3080" width="16.44140625" style="20" bestFit="1" customWidth="1"/>
    <col min="3081" max="3082" width="16.44140625" style="20" customWidth="1"/>
    <col min="3083" max="3083" width="29.109375" style="20" customWidth="1"/>
    <col min="3084" max="3084" width="33" style="20" customWidth="1"/>
    <col min="3085" max="3085" width="61.44140625" style="20" bestFit="1" customWidth="1"/>
    <col min="3086" max="3327" width="8.88671875" style="20"/>
    <col min="3328" max="3328" width="16" style="20" customWidth="1"/>
    <col min="3329" max="3329" width="12.44140625" style="20" customWidth="1"/>
    <col min="3330" max="3330" width="17.109375" style="20" customWidth="1"/>
    <col min="3331" max="3331" width="14.6640625" style="20" customWidth="1"/>
    <col min="3332" max="3332" width="22.88671875" style="20" customWidth="1"/>
    <col min="3333" max="3334" width="14.44140625" style="20" customWidth="1"/>
    <col min="3335" max="3336" width="16.44140625" style="20" bestFit="1" customWidth="1"/>
    <col min="3337" max="3338" width="16.44140625" style="20" customWidth="1"/>
    <col min="3339" max="3339" width="29.109375" style="20" customWidth="1"/>
    <col min="3340" max="3340" width="33" style="20" customWidth="1"/>
    <col min="3341" max="3341" width="61.44140625" style="20" bestFit="1" customWidth="1"/>
    <col min="3342" max="3583" width="8.88671875" style="20"/>
    <col min="3584" max="3584" width="16" style="20" customWidth="1"/>
    <col min="3585" max="3585" width="12.44140625" style="20" customWidth="1"/>
    <col min="3586" max="3586" width="17.109375" style="20" customWidth="1"/>
    <col min="3587" max="3587" width="14.6640625" style="20" customWidth="1"/>
    <col min="3588" max="3588" width="22.88671875" style="20" customWidth="1"/>
    <col min="3589" max="3590" width="14.44140625" style="20" customWidth="1"/>
    <col min="3591" max="3592" width="16.44140625" style="20" bestFit="1" customWidth="1"/>
    <col min="3593" max="3594" width="16.44140625" style="20" customWidth="1"/>
    <col min="3595" max="3595" width="29.109375" style="20" customWidth="1"/>
    <col min="3596" max="3596" width="33" style="20" customWidth="1"/>
    <col min="3597" max="3597" width="61.44140625" style="20" bestFit="1" customWidth="1"/>
    <col min="3598" max="3839" width="8.88671875" style="20"/>
    <col min="3840" max="3840" width="16" style="20" customWidth="1"/>
    <col min="3841" max="3841" width="12.44140625" style="20" customWidth="1"/>
    <col min="3842" max="3842" width="17.109375" style="20" customWidth="1"/>
    <col min="3843" max="3843" width="14.6640625" style="20" customWidth="1"/>
    <col min="3844" max="3844" width="22.88671875" style="20" customWidth="1"/>
    <col min="3845" max="3846" width="14.44140625" style="20" customWidth="1"/>
    <col min="3847" max="3848" width="16.44140625" style="20" bestFit="1" customWidth="1"/>
    <col min="3849" max="3850" width="16.44140625" style="20" customWidth="1"/>
    <col min="3851" max="3851" width="29.109375" style="20" customWidth="1"/>
    <col min="3852" max="3852" width="33" style="20" customWidth="1"/>
    <col min="3853" max="3853" width="61.44140625" style="20" bestFit="1" customWidth="1"/>
    <col min="3854" max="4095" width="8.88671875" style="20"/>
    <col min="4096" max="4096" width="16" style="20" customWidth="1"/>
    <col min="4097" max="4097" width="12.44140625" style="20" customWidth="1"/>
    <col min="4098" max="4098" width="17.109375" style="20" customWidth="1"/>
    <col min="4099" max="4099" width="14.6640625" style="20" customWidth="1"/>
    <col min="4100" max="4100" width="22.88671875" style="20" customWidth="1"/>
    <col min="4101" max="4102" width="14.44140625" style="20" customWidth="1"/>
    <col min="4103" max="4104" width="16.44140625" style="20" bestFit="1" customWidth="1"/>
    <col min="4105" max="4106" width="16.44140625" style="20" customWidth="1"/>
    <col min="4107" max="4107" width="29.109375" style="20" customWidth="1"/>
    <col min="4108" max="4108" width="33" style="20" customWidth="1"/>
    <col min="4109" max="4109" width="61.44140625" style="20" bestFit="1" customWidth="1"/>
    <col min="4110" max="4351" width="8.88671875" style="20"/>
    <col min="4352" max="4352" width="16" style="20" customWidth="1"/>
    <col min="4353" max="4353" width="12.44140625" style="20" customWidth="1"/>
    <col min="4354" max="4354" width="17.109375" style="20" customWidth="1"/>
    <col min="4355" max="4355" width="14.6640625" style="20" customWidth="1"/>
    <col min="4356" max="4356" width="22.88671875" style="20" customWidth="1"/>
    <col min="4357" max="4358" width="14.44140625" style="20" customWidth="1"/>
    <col min="4359" max="4360" width="16.44140625" style="20" bestFit="1" customWidth="1"/>
    <col min="4361" max="4362" width="16.44140625" style="20" customWidth="1"/>
    <col min="4363" max="4363" width="29.109375" style="20" customWidth="1"/>
    <col min="4364" max="4364" width="33" style="20" customWidth="1"/>
    <col min="4365" max="4365" width="61.44140625" style="20" bestFit="1" customWidth="1"/>
    <col min="4366" max="4607" width="8.88671875" style="20"/>
    <col min="4608" max="4608" width="16" style="20" customWidth="1"/>
    <col min="4609" max="4609" width="12.44140625" style="20" customWidth="1"/>
    <col min="4610" max="4610" width="17.109375" style="20" customWidth="1"/>
    <col min="4611" max="4611" width="14.6640625" style="20" customWidth="1"/>
    <col min="4612" max="4612" width="22.88671875" style="20" customWidth="1"/>
    <col min="4613" max="4614" width="14.44140625" style="20" customWidth="1"/>
    <col min="4615" max="4616" width="16.44140625" style="20" bestFit="1" customWidth="1"/>
    <col min="4617" max="4618" width="16.44140625" style="20" customWidth="1"/>
    <col min="4619" max="4619" width="29.109375" style="20" customWidth="1"/>
    <col min="4620" max="4620" width="33" style="20" customWidth="1"/>
    <col min="4621" max="4621" width="61.44140625" style="20" bestFit="1" customWidth="1"/>
    <col min="4622" max="4863" width="8.88671875" style="20"/>
    <col min="4864" max="4864" width="16" style="20" customWidth="1"/>
    <col min="4865" max="4865" width="12.44140625" style="20" customWidth="1"/>
    <col min="4866" max="4866" width="17.109375" style="20" customWidth="1"/>
    <col min="4867" max="4867" width="14.6640625" style="20" customWidth="1"/>
    <col min="4868" max="4868" width="22.88671875" style="20" customWidth="1"/>
    <col min="4869" max="4870" width="14.44140625" style="20" customWidth="1"/>
    <col min="4871" max="4872" width="16.44140625" style="20" bestFit="1" customWidth="1"/>
    <col min="4873" max="4874" width="16.44140625" style="20" customWidth="1"/>
    <col min="4875" max="4875" width="29.109375" style="20" customWidth="1"/>
    <col min="4876" max="4876" width="33" style="20" customWidth="1"/>
    <col min="4877" max="4877" width="61.44140625" style="20" bestFit="1" customWidth="1"/>
    <col min="4878" max="5119" width="8.88671875" style="20"/>
    <col min="5120" max="5120" width="16" style="20" customWidth="1"/>
    <col min="5121" max="5121" width="12.44140625" style="20" customWidth="1"/>
    <col min="5122" max="5122" width="17.109375" style="20" customWidth="1"/>
    <col min="5123" max="5123" width="14.6640625" style="20" customWidth="1"/>
    <col min="5124" max="5124" width="22.88671875" style="20" customWidth="1"/>
    <col min="5125" max="5126" width="14.44140625" style="20" customWidth="1"/>
    <col min="5127" max="5128" width="16.44140625" style="20" bestFit="1" customWidth="1"/>
    <col min="5129" max="5130" width="16.44140625" style="20" customWidth="1"/>
    <col min="5131" max="5131" width="29.109375" style="20" customWidth="1"/>
    <col min="5132" max="5132" width="33" style="20" customWidth="1"/>
    <col min="5133" max="5133" width="61.44140625" style="20" bestFit="1" customWidth="1"/>
    <col min="5134" max="5375" width="8.88671875" style="20"/>
    <col min="5376" max="5376" width="16" style="20" customWidth="1"/>
    <col min="5377" max="5377" width="12.44140625" style="20" customWidth="1"/>
    <col min="5378" max="5378" width="17.109375" style="20" customWidth="1"/>
    <col min="5379" max="5379" width="14.6640625" style="20" customWidth="1"/>
    <col min="5380" max="5380" width="22.88671875" style="20" customWidth="1"/>
    <col min="5381" max="5382" width="14.44140625" style="20" customWidth="1"/>
    <col min="5383" max="5384" width="16.44140625" style="20" bestFit="1" customWidth="1"/>
    <col min="5385" max="5386" width="16.44140625" style="20" customWidth="1"/>
    <col min="5387" max="5387" width="29.109375" style="20" customWidth="1"/>
    <col min="5388" max="5388" width="33" style="20" customWidth="1"/>
    <col min="5389" max="5389" width="61.44140625" style="20" bestFit="1" customWidth="1"/>
    <col min="5390" max="5631" width="8.88671875" style="20"/>
    <col min="5632" max="5632" width="16" style="20" customWidth="1"/>
    <col min="5633" max="5633" width="12.44140625" style="20" customWidth="1"/>
    <col min="5634" max="5634" width="17.109375" style="20" customWidth="1"/>
    <col min="5635" max="5635" width="14.6640625" style="20" customWidth="1"/>
    <col min="5636" max="5636" width="22.88671875" style="20" customWidth="1"/>
    <col min="5637" max="5638" width="14.44140625" style="20" customWidth="1"/>
    <col min="5639" max="5640" width="16.44140625" style="20" bestFit="1" customWidth="1"/>
    <col min="5641" max="5642" width="16.44140625" style="20" customWidth="1"/>
    <col min="5643" max="5643" width="29.109375" style="20" customWidth="1"/>
    <col min="5644" max="5644" width="33" style="20" customWidth="1"/>
    <col min="5645" max="5645" width="61.44140625" style="20" bestFit="1" customWidth="1"/>
    <col min="5646" max="5887" width="8.88671875" style="20"/>
    <col min="5888" max="5888" width="16" style="20" customWidth="1"/>
    <col min="5889" max="5889" width="12.44140625" style="20" customWidth="1"/>
    <col min="5890" max="5890" width="17.109375" style="20" customWidth="1"/>
    <col min="5891" max="5891" width="14.6640625" style="20" customWidth="1"/>
    <col min="5892" max="5892" width="22.88671875" style="20" customWidth="1"/>
    <col min="5893" max="5894" width="14.44140625" style="20" customWidth="1"/>
    <col min="5895" max="5896" width="16.44140625" style="20" bestFit="1" customWidth="1"/>
    <col min="5897" max="5898" width="16.44140625" style="20" customWidth="1"/>
    <col min="5899" max="5899" width="29.109375" style="20" customWidth="1"/>
    <col min="5900" max="5900" width="33" style="20" customWidth="1"/>
    <col min="5901" max="5901" width="61.44140625" style="20" bestFit="1" customWidth="1"/>
    <col min="5902" max="6143" width="8.88671875" style="20"/>
    <col min="6144" max="6144" width="16" style="20" customWidth="1"/>
    <col min="6145" max="6145" width="12.44140625" style="20" customWidth="1"/>
    <col min="6146" max="6146" width="17.109375" style="20" customWidth="1"/>
    <col min="6147" max="6147" width="14.6640625" style="20" customWidth="1"/>
    <col min="6148" max="6148" width="22.88671875" style="20" customWidth="1"/>
    <col min="6149" max="6150" width="14.44140625" style="20" customWidth="1"/>
    <col min="6151" max="6152" width="16.44140625" style="20" bestFit="1" customWidth="1"/>
    <col min="6153" max="6154" width="16.44140625" style="20" customWidth="1"/>
    <col min="6155" max="6155" width="29.109375" style="20" customWidth="1"/>
    <col min="6156" max="6156" width="33" style="20" customWidth="1"/>
    <col min="6157" max="6157" width="61.44140625" style="20" bestFit="1" customWidth="1"/>
    <col min="6158" max="6399" width="8.88671875" style="20"/>
    <col min="6400" max="6400" width="16" style="20" customWidth="1"/>
    <col min="6401" max="6401" width="12.44140625" style="20" customWidth="1"/>
    <col min="6402" max="6402" width="17.109375" style="20" customWidth="1"/>
    <col min="6403" max="6403" width="14.6640625" style="20" customWidth="1"/>
    <col min="6404" max="6404" width="22.88671875" style="20" customWidth="1"/>
    <col min="6405" max="6406" width="14.44140625" style="20" customWidth="1"/>
    <col min="6407" max="6408" width="16.44140625" style="20" bestFit="1" customWidth="1"/>
    <col min="6409" max="6410" width="16.44140625" style="20" customWidth="1"/>
    <col min="6411" max="6411" width="29.109375" style="20" customWidth="1"/>
    <col min="6412" max="6412" width="33" style="20" customWidth="1"/>
    <col min="6413" max="6413" width="61.44140625" style="20" bestFit="1" customWidth="1"/>
    <col min="6414" max="6655" width="8.88671875" style="20"/>
    <col min="6656" max="6656" width="16" style="20" customWidth="1"/>
    <col min="6657" max="6657" width="12.44140625" style="20" customWidth="1"/>
    <col min="6658" max="6658" width="17.109375" style="20" customWidth="1"/>
    <col min="6659" max="6659" width="14.6640625" style="20" customWidth="1"/>
    <col min="6660" max="6660" width="22.88671875" style="20" customWidth="1"/>
    <col min="6661" max="6662" width="14.44140625" style="20" customWidth="1"/>
    <col min="6663" max="6664" width="16.44140625" style="20" bestFit="1" customWidth="1"/>
    <col min="6665" max="6666" width="16.44140625" style="20" customWidth="1"/>
    <col min="6667" max="6667" width="29.109375" style="20" customWidth="1"/>
    <col min="6668" max="6668" width="33" style="20" customWidth="1"/>
    <col min="6669" max="6669" width="61.44140625" style="20" bestFit="1" customWidth="1"/>
    <col min="6670" max="6911" width="8.88671875" style="20"/>
    <col min="6912" max="6912" width="16" style="20" customWidth="1"/>
    <col min="6913" max="6913" width="12.44140625" style="20" customWidth="1"/>
    <col min="6914" max="6914" width="17.109375" style="20" customWidth="1"/>
    <col min="6915" max="6915" width="14.6640625" style="20" customWidth="1"/>
    <col min="6916" max="6916" width="22.88671875" style="20" customWidth="1"/>
    <col min="6917" max="6918" width="14.44140625" style="20" customWidth="1"/>
    <col min="6919" max="6920" width="16.44140625" style="20" bestFit="1" customWidth="1"/>
    <col min="6921" max="6922" width="16.44140625" style="20" customWidth="1"/>
    <col min="6923" max="6923" width="29.109375" style="20" customWidth="1"/>
    <col min="6924" max="6924" width="33" style="20" customWidth="1"/>
    <col min="6925" max="6925" width="61.44140625" style="20" bestFit="1" customWidth="1"/>
    <col min="6926" max="7167" width="8.88671875" style="20"/>
    <col min="7168" max="7168" width="16" style="20" customWidth="1"/>
    <col min="7169" max="7169" width="12.44140625" style="20" customWidth="1"/>
    <col min="7170" max="7170" width="17.109375" style="20" customWidth="1"/>
    <col min="7171" max="7171" width="14.6640625" style="20" customWidth="1"/>
    <col min="7172" max="7172" width="22.88671875" style="20" customWidth="1"/>
    <col min="7173" max="7174" width="14.44140625" style="20" customWidth="1"/>
    <col min="7175" max="7176" width="16.44140625" style="20" bestFit="1" customWidth="1"/>
    <col min="7177" max="7178" width="16.44140625" style="20" customWidth="1"/>
    <col min="7179" max="7179" width="29.109375" style="20" customWidth="1"/>
    <col min="7180" max="7180" width="33" style="20" customWidth="1"/>
    <col min="7181" max="7181" width="61.44140625" style="20" bestFit="1" customWidth="1"/>
    <col min="7182" max="7423" width="8.88671875" style="20"/>
    <col min="7424" max="7424" width="16" style="20" customWidth="1"/>
    <col min="7425" max="7425" width="12.44140625" style="20" customWidth="1"/>
    <col min="7426" max="7426" width="17.109375" style="20" customWidth="1"/>
    <col min="7427" max="7427" width="14.6640625" style="20" customWidth="1"/>
    <col min="7428" max="7428" width="22.88671875" style="20" customWidth="1"/>
    <col min="7429" max="7430" width="14.44140625" style="20" customWidth="1"/>
    <col min="7431" max="7432" width="16.44140625" style="20" bestFit="1" customWidth="1"/>
    <col min="7433" max="7434" width="16.44140625" style="20" customWidth="1"/>
    <col min="7435" max="7435" width="29.109375" style="20" customWidth="1"/>
    <col min="7436" max="7436" width="33" style="20" customWidth="1"/>
    <col min="7437" max="7437" width="61.44140625" style="20" bestFit="1" customWidth="1"/>
    <col min="7438" max="7679" width="8.88671875" style="20"/>
    <col min="7680" max="7680" width="16" style="20" customWidth="1"/>
    <col min="7681" max="7681" width="12.44140625" style="20" customWidth="1"/>
    <col min="7682" max="7682" width="17.109375" style="20" customWidth="1"/>
    <col min="7683" max="7683" width="14.6640625" style="20" customWidth="1"/>
    <col min="7684" max="7684" width="22.88671875" style="20" customWidth="1"/>
    <col min="7685" max="7686" width="14.44140625" style="20" customWidth="1"/>
    <col min="7687" max="7688" width="16.44140625" style="20" bestFit="1" customWidth="1"/>
    <col min="7689" max="7690" width="16.44140625" style="20" customWidth="1"/>
    <col min="7691" max="7691" width="29.109375" style="20" customWidth="1"/>
    <col min="7692" max="7692" width="33" style="20" customWidth="1"/>
    <col min="7693" max="7693" width="61.44140625" style="20" bestFit="1" customWidth="1"/>
    <col min="7694" max="7935" width="8.88671875" style="20"/>
    <col min="7936" max="7936" width="16" style="20" customWidth="1"/>
    <col min="7937" max="7937" width="12.44140625" style="20" customWidth="1"/>
    <col min="7938" max="7938" width="17.109375" style="20" customWidth="1"/>
    <col min="7939" max="7939" width="14.6640625" style="20" customWidth="1"/>
    <col min="7940" max="7940" width="22.88671875" style="20" customWidth="1"/>
    <col min="7941" max="7942" width="14.44140625" style="20" customWidth="1"/>
    <col min="7943" max="7944" width="16.44140625" style="20" bestFit="1" customWidth="1"/>
    <col min="7945" max="7946" width="16.44140625" style="20" customWidth="1"/>
    <col min="7947" max="7947" width="29.109375" style="20" customWidth="1"/>
    <col min="7948" max="7948" width="33" style="20" customWidth="1"/>
    <col min="7949" max="7949" width="61.44140625" style="20" bestFit="1" customWidth="1"/>
    <col min="7950" max="8191" width="8.88671875" style="20"/>
    <col min="8192" max="8192" width="16" style="20" customWidth="1"/>
    <col min="8193" max="8193" width="12.44140625" style="20" customWidth="1"/>
    <col min="8194" max="8194" width="17.109375" style="20" customWidth="1"/>
    <col min="8195" max="8195" width="14.6640625" style="20" customWidth="1"/>
    <col min="8196" max="8196" width="22.88671875" style="20" customWidth="1"/>
    <col min="8197" max="8198" width="14.44140625" style="20" customWidth="1"/>
    <col min="8199" max="8200" width="16.44140625" style="20" bestFit="1" customWidth="1"/>
    <col min="8201" max="8202" width="16.44140625" style="20" customWidth="1"/>
    <col min="8203" max="8203" width="29.109375" style="20" customWidth="1"/>
    <col min="8204" max="8204" width="33" style="20" customWidth="1"/>
    <col min="8205" max="8205" width="61.44140625" style="20" bestFit="1" customWidth="1"/>
    <col min="8206" max="8447" width="8.88671875" style="20"/>
    <col min="8448" max="8448" width="16" style="20" customWidth="1"/>
    <col min="8449" max="8449" width="12.44140625" style="20" customWidth="1"/>
    <col min="8450" max="8450" width="17.109375" style="20" customWidth="1"/>
    <col min="8451" max="8451" width="14.6640625" style="20" customWidth="1"/>
    <col min="8452" max="8452" width="22.88671875" style="20" customWidth="1"/>
    <col min="8453" max="8454" width="14.44140625" style="20" customWidth="1"/>
    <col min="8455" max="8456" width="16.44140625" style="20" bestFit="1" customWidth="1"/>
    <col min="8457" max="8458" width="16.44140625" style="20" customWidth="1"/>
    <col min="8459" max="8459" width="29.109375" style="20" customWidth="1"/>
    <col min="8460" max="8460" width="33" style="20" customWidth="1"/>
    <col min="8461" max="8461" width="61.44140625" style="20" bestFit="1" customWidth="1"/>
    <col min="8462" max="8703" width="8.88671875" style="20"/>
    <col min="8704" max="8704" width="16" style="20" customWidth="1"/>
    <col min="8705" max="8705" width="12.44140625" style="20" customWidth="1"/>
    <col min="8706" max="8706" width="17.109375" style="20" customWidth="1"/>
    <col min="8707" max="8707" width="14.6640625" style="20" customWidth="1"/>
    <col min="8708" max="8708" width="22.88671875" style="20" customWidth="1"/>
    <col min="8709" max="8710" width="14.44140625" style="20" customWidth="1"/>
    <col min="8711" max="8712" width="16.44140625" style="20" bestFit="1" customWidth="1"/>
    <col min="8713" max="8714" width="16.44140625" style="20" customWidth="1"/>
    <col min="8715" max="8715" width="29.109375" style="20" customWidth="1"/>
    <col min="8716" max="8716" width="33" style="20" customWidth="1"/>
    <col min="8717" max="8717" width="61.44140625" style="20" bestFit="1" customWidth="1"/>
    <col min="8718" max="8959" width="8.88671875" style="20"/>
    <col min="8960" max="8960" width="16" style="20" customWidth="1"/>
    <col min="8961" max="8961" width="12.44140625" style="20" customWidth="1"/>
    <col min="8962" max="8962" width="17.109375" style="20" customWidth="1"/>
    <col min="8963" max="8963" width="14.6640625" style="20" customWidth="1"/>
    <col min="8964" max="8964" width="22.88671875" style="20" customWidth="1"/>
    <col min="8965" max="8966" width="14.44140625" style="20" customWidth="1"/>
    <col min="8967" max="8968" width="16.44140625" style="20" bestFit="1" customWidth="1"/>
    <col min="8969" max="8970" width="16.44140625" style="20" customWidth="1"/>
    <col min="8971" max="8971" width="29.109375" style="20" customWidth="1"/>
    <col min="8972" max="8972" width="33" style="20" customWidth="1"/>
    <col min="8973" max="8973" width="61.44140625" style="20" bestFit="1" customWidth="1"/>
    <col min="8974" max="9215" width="8.88671875" style="20"/>
    <col min="9216" max="9216" width="16" style="20" customWidth="1"/>
    <col min="9217" max="9217" width="12.44140625" style="20" customWidth="1"/>
    <col min="9218" max="9218" width="17.109375" style="20" customWidth="1"/>
    <col min="9219" max="9219" width="14.6640625" style="20" customWidth="1"/>
    <col min="9220" max="9220" width="22.88671875" style="20" customWidth="1"/>
    <col min="9221" max="9222" width="14.44140625" style="20" customWidth="1"/>
    <col min="9223" max="9224" width="16.44140625" style="20" bestFit="1" customWidth="1"/>
    <col min="9225" max="9226" width="16.44140625" style="20" customWidth="1"/>
    <col min="9227" max="9227" width="29.109375" style="20" customWidth="1"/>
    <col min="9228" max="9228" width="33" style="20" customWidth="1"/>
    <col min="9229" max="9229" width="61.44140625" style="20" bestFit="1" customWidth="1"/>
    <col min="9230" max="9471" width="8.88671875" style="20"/>
    <col min="9472" max="9472" width="16" style="20" customWidth="1"/>
    <col min="9473" max="9473" width="12.44140625" style="20" customWidth="1"/>
    <col min="9474" max="9474" width="17.109375" style="20" customWidth="1"/>
    <col min="9475" max="9475" width="14.6640625" style="20" customWidth="1"/>
    <col min="9476" max="9476" width="22.88671875" style="20" customWidth="1"/>
    <col min="9477" max="9478" width="14.44140625" style="20" customWidth="1"/>
    <col min="9479" max="9480" width="16.44140625" style="20" bestFit="1" customWidth="1"/>
    <col min="9481" max="9482" width="16.44140625" style="20" customWidth="1"/>
    <col min="9483" max="9483" width="29.109375" style="20" customWidth="1"/>
    <col min="9484" max="9484" width="33" style="20" customWidth="1"/>
    <col min="9485" max="9485" width="61.44140625" style="20" bestFit="1" customWidth="1"/>
    <col min="9486" max="9727" width="8.88671875" style="20"/>
    <col min="9728" max="9728" width="16" style="20" customWidth="1"/>
    <col min="9729" max="9729" width="12.44140625" style="20" customWidth="1"/>
    <col min="9730" max="9730" width="17.109375" style="20" customWidth="1"/>
    <col min="9731" max="9731" width="14.6640625" style="20" customWidth="1"/>
    <col min="9732" max="9732" width="22.88671875" style="20" customWidth="1"/>
    <col min="9733" max="9734" width="14.44140625" style="20" customWidth="1"/>
    <col min="9735" max="9736" width="16.44140625" style="20" bestFit="1" customWidth="1"/>
    <col min="9737" max="9738" width="16.44140625" style="20" customWidth="1"/>
    <col min="9739" max="9739" width="29.109375" style="20" customWidth="1"/>
    <col min="9740" max="9740" width="33" style="20" customWidth="1"/>
    <col min="9741" max="9741" width="61.44140625" style="20" bestFit="1" customWidth="1"/>
    <col min="9742" max="9983" width="8.88671875" style="20"/>
    <col min="9984" max="9984" width="16" style="20" customWidth="1"/>
    <col min="9985" max="9985" width="12.44140625" style="20" customWidth="1"/>
    <col min="9986" max="9986" width="17.109375" style="20" customWidth="1"/>
    <col min="9987" max="9987" width="14.6640625" style="20" customWidth="1"/>
    <col min="9988" max="9988" width="22.88671875" style="20" customWidth="1"/>
    <col min="9989" max="9990" width="14.44140625" style="20" customWidth="1"/>
    <col min="9991" max="9992" width="16.44140625" style="20" bestFit="1" customWidth="1"/>
    <col min="9993" max="9994" width="16.44140625" style="20" customWidth="1"/>
    <col min="9995" max="9995" width="29.109375" style="20" customWidth="1"/>
    <col min="9996" max="9996" width="33" style="20" customWidth="1"/>
    <col min="9997" max="9997" width="61.44140625" style="20" bestFit="1" customWidth="1"/>
    <col min="9998" max="10239" width="8.88671875" style="20"/>
    <col min="10240" max="10240" width="16" style="20" customWidth="1"/>
    <col min="10241" max="10241" width="12.44140625" style="20" customWidth="1"/>
    <col min="10242" max="10242" width="17.109375" style="20" customWidth="1"/>
    <col min="10243" max="10243" width="14.6640625" style="20" customWidth="1"/>
    <col min="10244" max="10244" width="22.88671875" style="20" customWidth="1"/>
    <col min="10245" max="10246" width="14.44140625" style="20" customWidth="1"/>
    <col min="10247" max="10248" width="16.44140625" style="20" bestFit="1" customWidth="1"/>
    <col min="10249" max="10250" width="16.44140625" style="20" customWidth="1"/>
    <col min="10251" max="10251" width="29.109375" style="20" customWidth="1"/>
    <col min="10252" max="10252" width="33" style="20" customWidth="1"/>
    <col min="10253" max="10253" width="61.44140625" style="20" bestFit="1" customWidth="1"/>
    <col min="10254" max="10495" width="8.88671875" style="20"/>
    <col min="10496" max="10496" width="16" style="20" customWidth="1"/>
    <col min="10497" max="10497" width="12.44140625" style="20" customWidth="1"/>
    <col min="10498" max="10498" width="17.109375" style="20" customWidth="1"/>
    <col min="10499" max="10499" width="14.6640625" style="20" customWidth="1"/>
    <col min="10500" max="10500" width="22.88671875" style="20" customWidth="1"/>
    <col min="10501" max="10502" width="14.44140625" style="20" customWidth="1"/>
    <col min="10503" max="10504" width="16.44140625" style="20" bestFit="1" customWidth="1"/>
    <col min="10505" max="10506" width="16.44140625" style="20" customWidth="1"/>
    <col min="10507" max="10507" width="29.109375" style="20" customWidth="1"/>
    <col min="10508" max="10508" width="33" style="20" customWidth="1"/>
    <col min="10509" max="10509" width="61.44140625" style="20" bestFit="1" customWidth="1"/>
    <col min="10510" max="10751" width="8.88671875" style="20"/>
    <col min="10752" max="10752" width="16" style="20" customWidth="1"/>
    <col min="10753" max="10753" width="12.44140625" style="20" customWidth="1"/>
    <col min="10754" max="10754" width="17.109375" style="20" customWidth="1"/>
    <col min="10755" max="10755" width="14.6640625" style="20" customWidth="1"/>
    <col min="10756" max="10756" width="22.88671875" style="20" customWidth="1"/>
    <col min="10757" max="10758" width="14.44140625" style="20" customWidth="1"/>
    <col min="10759" max="10760" width="16.44140625" style="20" bestFit="1" customWidth="1"/>
    <col min="10761" max="10762" width="16.44140625" style="20" customWidth="1"/>
    <col min="10763" max="10763" width="29.109375" style="20" customWidth="1"/>
    <col min="10764" max="10764" width="33" style="20" customWidth="1"/>
    <col min="10765" max="10765" width="61.44140625" style="20" bestFit="1" customWidth="1"/>
    <col min="10766" max="11007" width="8.88671875" style="20"/>
    <col min="11008" max="11008" width="16" style="20" customWidth="1"/>
    <col min="11009" max="11009" width="12.44140625" style="20" customWidth="1"/>
    <col min="11010" max="11010" width="17.109375" style="20" customWidth="1"/>
    <col min="11011" max="11011" width="14.6640625" style="20" customWidth="1"/>
    <col min="11012" max="11012" width="22.88671875" style="20" customWidth="1"/>
    <col min="11013" max="11014" width="14.44140625" style="20" customWidth="1"/>
    <col min="11015" max="11016" width="16.44140625" style="20" bestFit="1" customWidth="1"/>
    <col min="11017" max="11018" width="16.44140625" style="20" customWidth="1"/>
    <col min="11019" max="11019" width="29.109375" style="20" customWidth="1"/>
    <col min="11020" max="11020" width="33" style="20" customWidth="1"/>
    <col min="11021" max="11021" width="61.44140625" style="20" bestFit="1" customWidth="1"/>
    <col min="11022" max="11263" width="8.88671875" style="20"/>
    <col min="11264" max="11264" width="16" style="20" customWidth="1"/>
    <col min="11265" max="11265" width="12.44140625" style="20" customWidth="1"/>
    <col min="11266" max="11266" width="17.109375" style="20" customWidth="1"/>
    <col min="11267" max="11267" width="14.6640625" style="20" customWidth="1"/>
    <col min="11268" max="11268" width="22.88671875" style="20" customWidth="1"/>
    <col min="11269" max="11270" width="14.44140625" style="20" customWidth="1"/>
    <col min="11271" max="11272" width="16.44140625" style="20" bestFit="1" customWidth="1"/>
    <col min="11273" max="11274" width="16.44140625" style="20" customWidth="1"/>
    <col min="11275" max="11275" width="29.109375" style="20" customWidth="1"/>
    <col min="11276" max="11276" width="33" style="20" customWidth="1"/>
    <col min="11277" max="11277" width="61.44140625" style="20" bestFit="1" customWidth="1"/>
    <col min="11278" max="11519" width="8.88671875" style="20"/>
    <col min="11520" max="11520" width="16" style="20" customWidth="1"/>
    <col min="11521" max="11521" width="12.44140625" style="20" customWidth="1"/>
    <col min="11522" max="11522" width="17.109375" style="20" customWidth="1"/>
    <col min="11523" max="11523" width="14.6640625" style="20" customWidth="1"/>
    <col min="11524" max="11524" width="22.88671875" style="20" customWidth="1"/>
    <col min="11525" max="11526" width="14.44140625" style="20" customWidth="1"/>
    <col min="11527" max="11528" width="16.44140625" style="20" bestFit="1" customWidth="1"/>
    <col min="11529" max="11530" width="16.44140625" style="20" customWidth="1"/>
    <col min="11531" max="11531" width="29.109375" style="20" customWidth="1"/>
    <col min="11532" max="11532" width="33" style="20" customWidth="1"/>
    <col min="11533" max="11533" width="61.44140625" style="20" bestFit="1" customWidth="1"/>
    <col min="11534" max="11775" width="8.88671875" style="20"/>
    <col min="11776" max="11776" width="16" style="20" customWidth="1"/>
    <col min="11777" max="11777" width="12.44140625" style="20" customWidth="1"/>
    <col min="11778" max="11778" width="17.109375" style="20" customWidth="1"/>
    <col min="11779" max="11779" width="14.6640625" style="20" customWidth="1"/>
    <col min="11780" max="11780" width="22.88671875" style="20" customWidth="1"/>
    <col min="11781" max="11782" width="14.44140625" style="20" customWidth="1"/>
    <col min="11783" max="11784" width="16.44140625" style="20" bestFit="1" customWidth="1"/>
    <col min="11785" max="11786" width="16.44140625" style="20" customWidth="1"/>
    <col min="11787" max="11787" width="29.109375" style="20" customWidth="1"/>
    <col min="11788" max="11788" width="33" style="20" customWidth="1"/>
    <col min="11789" max="11789" width="61.44140625" style="20" bestFit="1" customWidth="1"/>
    <col min="11790" max="12031" width="8.88671875" style="20"/>
    <col min="12032" max="12032" width="16" style="20" customWidth="1"/>
    <col min="12033" max="12033" width="12.44140625" style="20" customWidth="1"/>
    <col min="12034" max="12034" width="17.109375" style="20" customWidth="1"/>
    <col min="12035" max="12035" width="14.6640625" style="20" customWidth="1"/>
    <col min="12036" max="12036" width="22.88671875" style="20" customWidth="1"/>
    <col min="12037" max="12038" width="14.44140625" style="20" customWidth="1"/>
    <col min="12039" max="12040" width="16.44140625" style="20" bestFit="1" customWidth="1"/>
    <col min="12041" max="12042" width="16.44140625" style="20" customWidth="1"/>
    <col min="12043" max="12043" width="29.109375" style="20" customWidth="1"/>
    <col min="12044" max="12044" width="33" style="20" customWidth="1"/>
    <col min="12045" max="12045" width="61.44140625" style="20" bestFit="1" customWidth="1"/>
    <col min="12046" max="12287" width="8.88671875" style="20"/>
    <col min="12288" max="12288" width="16" style="20" customWidth="1"/>
    <col min="12289" max="12289" width="12.44140625" style="20" customWidth="1"/>
    <col min="12290" max="12290" width="17.109375" style="20" customWidth="1"/>
    <col min="12291" max="12291" width="14.6640625" style="20" customWidth="1"/>
    <col min="12292" max="12292" width="22.88671875" style="20" customWidth="1"/>
    <col min="12293" max="12294" width="14.44140625" style="20" customWidth="1"/>
    <col min="12295" max="12296" width="16.44140625" style="20" bestFit="1" customWidth="1"/>
    <col min="12297" max="12298" width="16.44140625" style="20" customWidth="1"/>
    <col min="12299" max="12299" width="29.109375" style="20" customWidth="1"/>
    <col min="12300" max="12300" width="33" style="20" customWidth="1"/>
    <col min="12301" max="12301" width="61.44140625" style="20" bestFit="1" customWidth="1"/>
    <col min="12302" max="12543" width="8.88671875" style="20"/>
    <col min="12544" max="12544" width="16" style="20" customWidth="1"/>
    <col min="12545" max="12545" width="12.44140625" style="20" customWidth="1"/>
    <col min="12546" max="12546" width="17.109375" style="20" customWidth="1"/>
    <col min="12547" max="12547" width="14.6640625" style="20" customWidth="1"/>
    <col min="12548" max="12548" width="22.88671875" style="20" customWidth="1"/>
    <col min="12549" max="12550" width="14.44140625" style="20" customWidth="1"/>
    <col min="12551" max="12552" width="16.44140625" style="20" bestFit="1" customWidth="1"/>
    <col min="12553" max="12554" width="16.44140625" style="20" customWidth="1"/>
    <col min="12555" max="12555" width="29.109375" style="20" customWidth="1"/>
    <col min="12556" max="12556" width="33" style="20" customWidth="1"/>
    <col min="12557" max="12557" width="61.44140625" style="20" bestFit="1" customWidth="1"/>
    <col min="12558" max="12799" width="8.88671875" style="20"/>
    <col min="12800" max="12800" width="16" style="20" customWidth="1"/>
    <col min="12801" max="12801" width="12.44140625" style="20" customWidth="1"/>
    <col min="12802" max="12802" width="17.109375" style="20" customWidth="1"/>
    <col min="12803" max="12803" width="14.6640625" style="20" customWidth="1"/>
    <col min="12804" max="12804" width="22.88671875" style="20" customWidth="1"/>
    <col min="12805" max="12806" width="14.44140625" style="20" customWidth="1"/>
    <col min="12807" max="12808" width="16.44140625" style="20" bestFit="1" customWidth="1"/>
    <col min="12809" max="12810" width="16.44140625" style="20" customWidth="1"/>
    <col min="12811" max="12811" width="29.109375" style="20" customWidth="1"/>
    <col min="12812" max="12812" width="33" style="20" customWidth="1"/>
    <col min="12813" max="12813" width="61.44140625" style="20" bestFit="1" customWidth="1"/>
    <col min="12814" max="13055" width="8.88671875" style="20"/>
    <col min="13056" max="13056" width="16" style="20" customWidth="1"/>
    <col min="13057" max="13057" width="12.44140625" style="20" customWidth="1"/>
    <col min="13058" max="13058" width="17.109375" style="20" customWidth="1"/>
    <col min="13059" max="13059" width="14.6640625" style="20" customWidth="1"/>
    <col min="13060" max="13060" width="22.88671875" style="20" customWidth="1"/>
    <col min="13061" max="13062" width="14.44140625" style="20" customWidth="1"/>
    <col min="13063" max="13064" width="16.44140625" style="20" bestFit="1" customWidth="1"/>
    <col min="13065" max="13066" width="16.44140625" style="20" customWidth="1"/>
    <col min="13067" max="13067" width="29.109375" style="20" customWidth="1"/>
    <col min="13068" max="13068" width="33" style="20" customWidth="1"/>
    <col min="13069" max="13069" width="61.44140625" style="20" bestFit="1" customWidth="1"/>
    <col min="13070" max="13311" width="8.88671875" style="20"/>
    <col min="13312" max="13312" width="16" style="20" customWidth="1"/>
    <col min="13313" max="13313" width="12.44140625" style="20" customWidth="1"/>
    <col min="13314" max="13314" width="17.109375" style="20" customWidth="1"/>
    <col min="13315" max="13315" width="14.6640625" style="20" customWidth="1"/>
    <col min="13316" max="13316" width="22.88671875" style="20" customWidth="1"/>
    <col min="13317" max="13318" width="14.44140625" style="20" customWidth="1"/>
    <col min="13319" max="13320" width="16.44140625" style="20" bestFit="1" customWidth="1"/>
    <col min="13321" max="13322" width="16.44140625" style="20" customWidth="1"/>
    <col min="13323" max="13323" width="29.109375" style="20" customWidth="1"/>
    <col min="13324" max="13324" width="33" style="20" customWidth="1"/>
    <col min="13325" max="13325" width="61.44140625" style="20" bestFit="1" customWidth="1"/>
    <col min="13326" max="13567" width="8.88671875" style="20"/>
    <col min="13568" max="13568" width="16" style="20" customWidth="1"/>
    <col min="13569" max="13569" width="12.44140625" style="20" customWidth="1"/>
    <col min="13570" max="13570" width="17.109375" style="20" customWidth="1"/>
    <col min="13571" max="13571" width="14.6640625" style="20" customWidth="1"/>
    <col min="13572" max="13572" width="22.88671875" style="20" customWidth="1"/>
    <col min="13573" max="13574" width="14.44140625" style="20" customWidth="1"/>
    <col min="13575" max="13576" width="16.44140625" style="20" bestFit="1" customWidth="1"/>
    <col min="13577" max="13578" width="16.44140625" style="20" customWidth="1"/>
    <col min="13579" max="13579" width="29.109375" style="20" customWidth="1"/>
    <col min="13580" max="13580" width="33" style="20" customWidth="1"/>
    <col min="13581" max="13581" width="61.44140625" style="20" bestFit="1" customWidth="1"/>
    <col min="13582" max="13823" width="8.88671875" style="20"/>
    <col min="13824" max="13824" width="16" style="20" customWidth="1"/>
    <col min="13825" max="13825" width="12.44140625" style="20" customWidth="1"/>
    <col min="13826" max="13826" width="17.109375" style="20" customWidth="1"/>
    <col min="13827" max="13827" width="14.6640625" style="20" customWidth="1"/>
    <col min="13828" max="13828" width="22.88671875" style="20" customWidth="1"/>
    <col min="13829" max="13830" width="14.44140625" style="20" customWidth="1"/>
    <col min="13831" max="13832" width="16.44140625" style="20" bestFit="1" customWidth="1"/>
    <col min="13833" max="13834" width="16.44140625" style="20" customWidth="1"/>
    <col min="13835" max="13835" width="29.109375" style="20" customWidth="1"/>
    <col min="13836" max="13836" width="33" style="20" customWidth="1"/>
    <col min="13837" max="13837" width="61.44140625" style="20" bestFit="1" customWidth="1"/>
    <col min="13838" max="14079" width="8.88671875" style="20"/>
    <col min="14080" max="14080" width="16" style="20" customWidth="1"/>
    <col min="14081" max="14081" width="12.44140625" style="20" customWidth="1"/>
    <col min="14082" max="14082" width="17.109375" style="20" customWidth="1"/>
    <col min="14083" max="14083" width="14.6640625" style="20" customWidth="1"/>
    <col min="14084" max="14084" width="22.88671875" style="20" customWidth="1"/>
    <col min="14085" max="14086" width="14.44140625" style="20" customWidth="1"/>
    <col min="14087" max="14088" width="16.44140625" style="20" bestFit="1" customWidth="1"/>
    <col min="14089" max="14090" width="16.44140625" style="20" customWidth="1"/>
    <col min="14091" max="14091" width="29.109375" style="20" customWidth="1"/>
    <col min="14092" max="14092" width="33" style="20" customWidth="1"/>
    <col min="14093" max="14093" width="61.44140625" style="20" bestFit="1" customWidth="1"/>
    <col min="14094" max="14335" width="8.88671875" style="20"/>
    <col min="14336" max="14336" width="16" style="20" customWidth="1"/>
    <col min="14337" max="14337" width="12.44140625" style="20" customWidth="1"/>
    <col min="14338" max="14338" width="17.109375" style="20" customWidth="1"/>
    <col min="14339" max="14339" width="14.6640625" style="20" customWidth="1"/>
    <col min="14340" max="14340" width="22.88671875" style="20" customWidth="1"/>
    <col min="14341" max="14342" width="14.44140625" style="20" customWidth="1"/>
    <col min="14343" max="14344" width="16.44140625" style="20" bestFit="1" customWidth="1"/>
    <col min="14345" max="14346" width="16.44140625" style="20" customWidth="1"/>
    <col min="14347" max="14347" width="29.109375" style="20" customWidth="1"/>
    <col min="14348" max="14348" width="33" style="20" customWidth="1"/>
    <col min="14349" max="14349" width="61.44140625" style="20" bestFit="1" customWidth="1"/>
    <col min="14350" max="14591" width="8.88671875" style="20"/>
    <col min="14592" max="14592" width="16" style="20" customWidth="1"/>
    <col min="14593" max="14593" width="12.44140625" style="20" customWidth="1"/>
    <col min="14594" max="14594" width="17.109375" style="20" customWidth="1"/>
    <col min="14595" max="14595" width="14.6640625" style="20" customWidth="1"/>
    <col min="14596" max="14596" width="22.88671875" style="20" customWidth="1"/>
    <col min="14597" max="14598" width="14.44140625" style="20" customWidth="1"/>
    <col min="14599" max="14600" width="16.44140625" style="20" bestFit="1" customWidth="1"/>
    <col min="14601" max="14602" width="16.44140625" style="20" customWidth="1"/>
    <col min="14603" max="14603" width="29.109375" style="20" customWidth="1"/>
    <col min="14604" max="14604" width="33" style="20" customWidth="1"/>
    <col min="14605" max="14605" width="61.44140625" style="20" bestFit="1" customWidth="1"/>
    <col min="14606" max="14847" width="8.88671875" style="20"/>
    <col min="14848" max="14848" width="16" style="20" customWidth="1"/>
    <col min="14849" max="14849" width="12.44140625" style="20" customWidth="1"/>
    <col min="14850" max="14850" width="17.109375" style="20" customWidth="1"/>
    <col min="14851" max="14851" width="14.6640625" style="20" customWidth="1"/>
    <col min="14852" max="14852" width="22.88671875" style="20" customWidth="1"/>
    <col min="14853" max="14854" width="14.44140625" style="20" customWidth="1"/>
    <col min="14855" max="14856" width="16.44140625" style="20" bestFit="1" customWidth="1"/>
    <col min="14857" max="14858" width="16.44140625" style="20" customWidth="1"/>
    <col min="14859" max="14859" width="29.109375" style="20" customWidth="1"/>
    <col min="14860" max="14860" width="33" style="20" customWidth="1"/>
    <col min="14861" max="14861" width="61.44140625" style="20" bestFit="1" customWidth="1"/>
    <col min="14862" max="15103" width="8.88671875" style="20"/>
    <col min="15104" max="15104" width="16" style="20" customWidth="1"/>
    <col min="15105" max="15105" width="12.44140625" style="20" customWidth="1"/>
    <col min="15106" max="15106" width="17.109375" style="20" customWidth="1"/>
    <col min="15107" max="15107" width="14.6640625" style="20" customWidth="1"/>
    <col min="15108" max="15108" width="22.88671875" style="20" customWidth="1"/>
    <col min="15109" max="15110" width="14.44140625" style="20" customWidth="1"/>
    <col min="15111" max="15112" width="16.44140625" style="20" bestFit="1" customWidth="1"/>
    <col min="15113" max="15114" width="16.44140625" style="20" customWidth="1"/>
    <col min="15115" max="15115" width="29.109375" style="20" customWidth="1"/>
    <col min="15116" max="15116" width="33" style="20" customWidth="1"/>
    <col min="15117" max="15117" width="61.44140625" style="20" bestFit="1" customWidth="1"/>
    <col min="15118" max="15359" width="8.88671875" style="20"/>
    <col min="15360" max="15360" width="16" style="20" customWidth="1"/>
    <col min="15361" max="15361" width="12.44140625" style="20" customWidth="1"/>
    <col min="15362" max="15362" width="17.109375" style="20" customWidth="1"/>
    <col min="15363" max="15363" width="14.6640625" style="20" customWidth="1"/>
    <col min="15364" max="15364" width="22.88671875" style="20" customWidth="1"/>
    <col min="15365" max="15366" width="14.44140625" style="20" customWidth="1"/>
    <col min="15367" max="15368" width="16.44140625" style="20" bestFit="1" customWidth="1"/>
    <col min="15369" max="15370" width="16.44140625" style="20" customWidth="1"/>
    <col min="15371" max="15371" width="29.109375" style="20" customWidth="1"/>
    <col min="15372" max="15372" width="33" style="20" customWidth="1"/>
    <col min="15373" max="15373" width="61.44140625" style="20" bestFit="1" customWidth="1"/>
    <col min="15374" max="15615" width="8.88671875" style="20"/>
    <col min="15616" max="15616" width="16" style="20" customWidth="1"/>
    <col min="15617" max="15617" width="12.44140625" style="20" customWidth="1"/>
    <col min="15618" max="15618" width="17.109375" style="20" customWidth="1"/>
    <col min="15619" max="15619" width="14.6640625" style="20" customWidth="1"/>
    <col min="15620" max="15620" width="22.88671875" style="20" customWidth="1"/>
    <col min="15621" max="15622" width="14.44140625" style="20" customWidth="1"/>
    <col min="15623" max="15624" width="16.44140625" style="20" bestFit="1" customWidth="1"/>
    <col min="15625" max="15626" width="16.44140625" style="20" customWidth="1"/>
    <col min="15627" max="15627" width="29.109375" style="20" customWidth="1"/>
    <col min="15628" max="15628" width="33" style="20" customWidth="1"/>
    <col min="15629" max="15629" width="61.44140625" style="20" bestFit="1" customWidth="1"/>
    <col min="15630" max="15871" width="8.88671875" style="20"/>
    <col min="15872" max="15872" width="16" style="20" customWidth="1"/>
    <col min="15873" max="15873" width="12.44140625" style="20" customWidth="1"/>
    <col min="15874" max="15874" width="17.109375" style="20" customWidth="1"/>
    <col min="15875" max="15875" width="14.6640625" style="20" customWidth="1"/>
    <col min="15876" max="15876" width="22.88671875" style="20" customWidth="1"/>
    <col min="15877" max="15878" width="14.44140625" style="20" customWidth="1"/>
    <col min="15879" max="15880" width="16.44140625" style="20" bestFit="1" customWidth="1"/>
    <col min="15881" max="15882" width="16.44140625" style="20" customWidth="1"/>
    <col min="15883" max="15883" width="29.109375" style="20" customWidth="1"/>
    <col min="15884" max="15884" width="33" style="20" customWidth="1"/>
    <col min="15885" max="15885" width="61.44140625" style="20" bestFit="1" customWidth="1"/>
    <col min="15886" max="16127" width="8.88671875" style="20"/>
    <col min="16128" max="16128" width="16" style="20" customWidth="1"/>
    <col min="16129" max="16129" width="12.44140625" style="20" customWidth="1"/>
    <col min="16130" max="16130" width="17.109375" style="20" customWidth="1"/>
    <col min="16131" max="16131" width="14.6640625" style="20" customWidth="1"/>
    <col min="16132" max="16132" width="22.88671875" style="20" customWidth="1"/>
    <col min="16133" max="16134" width="14.44140625" style="20" customWidth="1"/>
    <col min="16135" max="16136" width="16.44140625" style="20" bestFit="1" customWidth="1"/>
    <col min="16137" max="16138" width="16.44140625" style="20" customWidth="1"/>
    <col min="16139" max="16139" width="29.109375" style="20" customWidth="1"/>
    <col min="16140" max="16140" width="33" style="20" customWidth="1"/>
    <col min="16141" max="16141" width="61.44140625" style="20" bestFit="1" customWidth="1"/>
    <col min="16142" max="16384" width="8.88671875" style="20"/>
  </cols>
  <sheetData>
    <row r="1" spans="1:14" ht="14.4">
      <c r="J1" s="79"/>
      <c r="L1" s="75" t="s">
        <v>131</v>
      </c>
      <c r="M1" s="79"/>
    </row>
    <row r="3" spans="1:14" ht="31.2">
      <c r="G3" s="83" t="s">
        <v>315</v>
      </c>
    </row>
    <row r="4" spans="1:14">
      <c r="E4" s="17" t="s">
        <v>234</v>
      </c>
    </row>
    <row r="5" spans="1:14">
      <c r="E5" s="17" t="s">
        <v>235</v>
      </c>
    </row>
    <row r="7" spans="1:14" ht="14.4" thickBot="1"/>
    <row r="8" spans="1:14" s="23" customFormat="1" ht="12.75" customHeight="1">
      <c r="A8" s="222" t="s">
        <v>142</v>
      </c>
      <c r="B8" s="224" t="s">
        <v>143</v>
      </c>
      <c r="C8" s="229" t="s">
        <v>132</v>
      </c>
      <c r="D8" s="224" t="s">
        <v>124</v>
      </c>
      <c r="E8" s="224" t="s">
        <v>80</v>
      </c>
      <c r="F8" s="224" t="s">
        <v>7</v>
      </c>
      <c r="G8" s="232" t="s">
        <v>133</v>
      </c>
      <c r="H8" s="238" t="s">
        <v>134</v>
      </c>
      <c r="I8" s="239"/>
      <c r="J8" s="239"/>
      <c r="K8" s="239"/>
      <c r="L8" s="239"/>
      <c r="M8" s="239"/>
      <c r="N8" s="239"/>
    </row>
    <row r="9" spans="1:14" s="23" customFormat="1" ht="27.6">
      <c r="A9" s="235"/>
      <c r="B9" s="236"/>
      <c r="C9" s="237"/>
      <c r="D9" s="236"/>
      <c r="E9" s="236"/>
      <c r="F9" s="236"/>
      <c r="G9" s="233"/>
      <c r="H9" s="80" t="s">
        <v>135</v>
      </c>
      <c r="I9" s="80" t="s">
        <v>136</v>
      </c>
      <c r="J9" s="80" t="s">
        <v>137</v>
      </c>
      <c r="K9" s="80" t="s">
        <v>138</v>
      </c>
      <c r="L9" s="80" t="s">
        <v>139</v>
      </c>
      <c r="M9" s="80" t="s">
        <v>140</v>
      </c>
      <c r="N9" s="80" t="s">
        <v>141</v>
      </c>
    </row>
    <row r="10" spans="1:14" s="46" customFormat="1" ht="33" customHeight="1">
      <c r="A10" s="24"/>
      <c r="B10" s="25"/>
      <c r="C10" s="28"/>
      <c r="D10" s="25"/>
      <c r="E10" s="27" t="s">
        <v>87</v>
      </c>
      <c r="F10" s="26"/>
      <c r="G10" s="44"/>
      <c r="H10" s="44"/>
      <c r="I10" s="44"/>
      <c r="J10" s="44"/>
      <c r="K10" s="44"/>
      <c r="L10" s="44"/>
      <c r="M10" s="44">
        <f>SUM(I10:L10)</f>
        <v>0</v>
      </c>
      <c r="N10" s="44"/>
    </row>
    <row r="11" spans="1:14" s="46" customFormat="1" ht="33" customHeight="1">
      <c r="A11" s="50"/>
      <c r="B11" s="30"/>
      <c r="C11" s="33"/>
      <c r="D11" s="30"/>
      <c r="E11" s="32" t="s">
        <v>89</v>
      </c>
      <c r="F11" s="31"/>
      <c r="G11" s="47"/>
      <c r="H11" s="47"/>
      <c r="I11" s="47"/>
      <c r="J11" s="47"/>
      <c r="K11" s="47"/>
      <c r="L11" s="47"/>
      <c r="M11" s="44">
        <f t="shared" ref="M11:M12" si="0">SUM(I11:L11)</f>
        <v>0</v>
      </c>
      <c r="N11" s="47"/>
    </row>
    <row r="12" spans="1:14" s="46" customFormat="1" ht="33" customHeight="1">
      <c r="A12" s="50"/>
      <c r="B12" s="30"/>
      <c r="C12" s="33"/>
      <c r="D12" s="30"/>
      <c r="E12" s="32" t="s">
        <v>91</v>
      </c>
      <c r="F12" s="31"/>
      <c r="G12" s="47"/>
      <c r="H12" s="47"/>
      <c r="I12" s="47"/>
      <c r="J12" s="47"/>
      <c r="K12" s="47"/>
      <c r="L12" s="47"/>
      <c r="M12" s="44">
        <f t="shared" si="0"/>
        <v>0</v>
      </c>
      <c r="N12" s="47"/>
    </row>
    <row r="13" spans="1:14" s="46" customFormat="1" ht="33" customHeight="1">
      <c r="A13" s="81" t="s">
        <v>107</v>
      </c>
      <c r="B13" s="81"/>
      <c r="C13" s="81"/>
      <c r="D13" s="81"/>
      <c r="E13" s="81"/>
      <c r="F13" s="81"/>
      <c r="G13" s="82"/>
      <c r="H13" s="82"/>
      <c r="I13" s="82"/>
      <c r="J13" s="82"/>
      <c r="K13" s="82"/>
      <c r="L13" s="82"/>
      <c r="M13" s="82"/>
      <c r="N13" s="82" t="e">
        <f>M13/G13</f>
        <v>#DIV/0!</v>
      </c>
    </row>
    <row r="14" spans="1:14" s="46" customFormat="1" ht="33" customHeight="1" thickBot="1">
      <c r="A14" s="37"/>
      <c r="B14" s="37"/>
      <c r="C14" s="37"/>
      <c r="D14" s="37"/>
      <c r="E14" s="37"/>
      <c r="F14" s="37"/>
      <c r="G14" s="64"/>
      <c r="H14" s="64"/>
      <c r="I14" s="64"/>
      <c r="J14" s="64"/>
      <c r="K14" s="64"/>
      <c r="L14" s="64"/>
      <c r="M14" s="64"/>
      <c r="N14" s="64"/>
    </row>
    <row r="15" spans="1:14" s="23" customFormat="1" ht="12.75" customHeight="1">
      <c r="A15" s="222" t="s">
        <v>142</v>
      </c>
      <c r="B15" s="224" t="s">
        <v>143</v>
      </c>
      <c r="C15" s="229" t="s">
        <v>132</v>
      </c>
      <c r="D15" s="224" t="s">
        <v>124</v>
      </c>
      <c r="E15" s="224" t="s">
        <v>80</v>
      </c>
      <c r="F15" s="224" t="s">
        <v>7</v>
      </c>
      <c r="G15" s="232" t="s">
        <v>133</v>
      </c>
      <c r="H15" s="238" t="s">
        <v>134</v>
      </c>
      <c r="I15" s="239"/>
      <c r="J15" s="239"/>
      <c r="K15" s="239"/>
      <c r="L15" s="239"/>
      <c r="M15" s="239"/>
      <c r="N15" s="239"/>
    </row>
    <row r="16" spans="1:14" s="23" customFormat="1" ht="27.6">
      <c r="A16" s="235"/>
      <c r="B16" s="236"/>
      <c r="C16" s="237"/>
      <c r="D16" s="236"/>
      <c r="E16" s="236"/>
      <c r="F16" s="236"/>
      <c r="G16" s="233"/>
      <c r="H16" s="80" t="s">
        <v>135</v>
      </c>
      <c r="I16" s="80" t="s">
        <v>136</v>
      </c>
      <c r="J16" s="80" t="s">
        <v>137</v>
      </c>
      <c r="K16" s="80" t="s">
        <v>138</v>
      </c>
      <c r="L16" s="80" t="s">
        <v>139</v>
      </c>
      <c r="M16" s="80" t="s">
        <v>140</v>
      </c>
      <c r="N16" s="80" t="s">
        <v>141</v>
      </c>
    </row>
    <row r="17" spans="1:14" ht="27.6">
      <c r="A17" s="24" t="s">
        <v>92</v>
      </c>
      <c r="B17" s="25" t="s">
        <v>93</v>
      </c>
      <c r="C17" s="52" t="str">
        <f>VLOOKUP($E17,'[1]2018'!$D$27:$M$325,2,0)</f>
        <v>Sep'17-Feb'18</v>
      </c>
      <c r="D17" s="25"/>
      <c r="E17" s="27" t="s">
        <v>95</v>
      </c>
      <c r="F17" s="26" t="s">
        <v>94</v>
      </c>
      <c r="G17" s="44"/>
      <c r="H17" s="44"/>
      <c r="I17" s="44"/>
      <c r="J17" s="44"/>
      <c r="K17" s="44"/>
      <c r="L17" s="44"/>
      <c r="M17" s="44"/>
      <c r="N17" s="44"/>
    </row>
    <row r="18" spans="1:14" ht="28.2" thickBot="1">
      <c r="A18" s="43" t="s">
        <v>92</v>
      </c>
      <c r="B18" s="34" t="s">
        <v>93</v>
      </c>
      <c r="C18" s="53" t="str">
        <f>VLOOKUP($E18,'[1]2018'!$D$27:$M$325,2,0)</f>
        <v>Sep'17-Feb'18</v>
      </c>
      <c r="D18" s="34"/>
      <c r="E18" s="36" t="s">
        <v>97</v>
      </c>
      <c r="F18" s="35" t="s">
        <v>96</v>
      </c>
      <c r="G18" s="51"/>
      <c r="H18" s="51"/>
      <c r="I18" s="51"/>
      <c r="J18" s="51"/>
      <c r="K18" s="51"/>
      <c r="L18" s="51"/>
      <c r="M18" s="51"/>
      <c r="N18" s="51"/>
    </row>
    <row r="19" spans="1:14" s="46" customFormat="1" ht="33" customHeight="1">
      <c r="A19" s="81" t="s">
        <v>107</v>
      </c>
      <c r="B19" s="81"/>
      <c r="C19" s="81"/>
      <c r="D19" s="81"/>
      <c r="E19" s="81"/>
      <c r="F19" s="81"/>
      <c r="G19" s="82"/>
      <c r="H19" s="82"/>
      <c r="I19" s="82"/>
      <c r="J19" s="82"/>
      <c r="K19" s="82"/>
      <c r="L19" s="82"/>
      <c r="M19" s="82"/>
      <c r="N19" s="82" t="e">
        <f>M19/G19</f>
        <v>#DIV/0!</v>
      </c>
    </row>
    <row r="20" spans="1:14" s="46" customFormat="1">
      <c r="A20" s="37"/>
      <c r="B20" s="37"/>
      <c r="C20" s="37"/>
      <c r="D20" s="37"/>
      <c r="E20" s="37"/>
      <c r="F20" s="37"/>
      <c r="G20" s="64"/>
      <c r="H20" s="64"/>
      <c r="I20" s="64"/>
      <c r="J20" s="64"/>
      <c r="K20" s="64"/>
      <c r="L20" s="64"/>
      <c r="M20" s="64"/>
      <c r="N20" s="64"/>
    </row>
    <row r="21" spans="1:14">
      <c r="G21" s="42">
        <f>SUBTOTAL(9,G17:G18)</f>
        <v>0</v>
      </c>
      <c r="H21" s="42">
        <f>SUBTOTAL(9,H17:H18)</f>
        <v>0</v>
      </c>
      <c r="I21" s="42">
        <f>SUBTOTAL(9,I17:I18)</f>
        <v>0</v>
      </c>
      <c r="J21" s="42"/>
      <c r="K21" s="42">
        <f>SUBTOTAL(9,K17:K18)</f>
        <v>0</v>
      </c>
      <c r="L21" s="42"/>
      <c r="M21" s="42"/>
      <c r="N21" s="42">
        <f>SUBTOTAL(9,N17:N18)</f>
        <v>0</v>
      </c>
    </row>
    <row r="22" spans="1:14" s="68" customFormat="1" ht="14.4" thickBot="1">
      <c r="A22" s="22"/>
      <c r="B22" s="38"/>
      <c r="C22" s="41"/>
      <c r="D22" s="38"/>
      <c r="E22" s="40"/>
      <c r="F22" s="39"/>
      <c r="G22" s="64"/>
      <c r="H22" s="64"/>
      <c r="I22" s="64"/>
      <c r="J22" s="64"/>
      <c r="K22" s="64"/>
      <c r="L22" s="64"/>
      <c r="M22" s="64"/>
      <c r="N22" s="64"/>
    </row>
    <row r="23" spans="1:14" s="23" customFormat="1" ht="12.75" customHeight="1">
      <c r="A23" s="222" t="s">
        <v>142</v>
      </c>
      <c r="B23" s="224" t="s">
        <v>143</v>
      </c>
      <c r="C23" s="229" t="s">
        <v>132</v>
      </c>
      <c r="D23" s="224" t="s">
        <v>124</v>
      </c>
      <c r="E23" s="224" t="s">
        <v>80</v>
      </c>
      <c r="F23" s="224" t="s">
        <v>7</v>
      </c>
      <c r="G23" s="232" t="s">
        <v>133</v>
      </c>
      <c r="H23" s="238" t="s">
        <v>134</v>
      </c>
      <c r="I23" s="239"/>
      <c r="J23" s="239"/>
      <c r="K23" s="239"/>
      <c r="L23" s="239"/>
      <c r="M23" s="239"/>
      <c r="N23" s="239"/>
    </row>
    <row r="24" spans="1:14" s="23" customFormat="1" ht="27.6">
      <c r="A24" s="235"/>
      <c r="B24" s="236"/>
      <c r="C24" s="237"/>
      <c r="D24" s="236"/>
      <c r="E24" s="236"/>
      <c r="F24" s="236"/>
      <c r="G24" s="233"/>
      <c r="H24" s="80" t="s">
        <v>135</v>
      </c>
      <c r="I24" s="80" t="s">
        <v>136</v>
      </c>
      <c r="J24" s="80" t="s">
        <v>137</v>
      </c>
      <c r="K24" s="80" t="s">
        <v>138</v>
      </c>
      <c r="L24" s="80" t="s">
        <v>139</v>
      </c>
      <c r="M24" s="80" t="s">
        <v>140</v>
      </c>
      <c r="N24" s="80" t="s">
        <v>141</v>
      </c>
    </row>
    <row r="25" spans="1:14" ht="40.5" customHeight="1">
      <c r="A25" s="50" t="s">
        <v>98</v>
      </c>
      <c r="B25" s="30" t="s">
        <v>99</v>
      </c>
      <c r="C25" s="57" t="str">
        <f>VLOOKUP($E25,'[1]2018'!$D$27:$M$325,2,0)</f>
        <v>Apr - May</v>
      </c>
      <c r="D25" s="30"/>
      <c r="E25" s="56" t="s">
        <v>101</v>
      </c>
      <c r="F25" s="55" t="s">
        <v>100</v>
      </c>
      <c r="G25" s="49"/>
      <c r="H25" s="58"/>
      <c r="I25" s="58"/>
      <c r="J25" s="58"/>
      <c r="K25" s="58"/>
      <c r="L25" s="58"/>
      <c r="M25" s="58"/>
      <c r="N25" s="58"/>
    </row>
    <row r="26" spans="1:14" s="46" customFormat="1" ht="33" customHeight="1">
      <c r="A26" s="81" t="s">
        <v>107</v>
      </c>
      <c r="B26" s="81"/>
      <c r="C26" s="81"/>
      <c r="D26" s="81"/>
      <c r="E26" s="81"/>
      <c r="F26" s="81"/>
      <c r="G26" s="82"/>
      <c r="H26" s="82"/>
      <c r="I26" s="82"/>
      <c r="J26" s="82"/>
      <c r="K26" s="82"/>
      <c r="L26" s="82"/>
      <c r="M26" s="82"/>
      <c r="N26" s="82" t="e">
        <f>M26/G26</f>
        <v>#DIV/0!</v>
      </c>
    </row>
    <row r="27" spans="1:14">
      <c r="G27" s="42">
        <f>SUBTOTAL(9,G25:G25)</f>
        <v>0</v>
      </c>
      <c r="H27" s="42">
        <f>SUBTOTAL(9,H25:H25)</f>
        <v>0</v>
      </c>
      <c r="I27" s="42">
        <f>SUBTOTAL(9,I25:I25)</f>
        <v>0</v>
      </c>
      <c r="J27" s="42"/>
      <c r="K27" s="42">
        <f>SUBTOTAL(9,K25:K25)</f>
        <v>0</v>
      </c>
      <c r="L27" s="42"/>
      <c r="M27" s="42"/>
      <c r="N27" s="42">
        <f>SUBTOTAL(9,N25:N25)</f>
        <v>0</v>
      </c>
    </row>
    <row r="28" spans="1:14">
      <c r="G28" s="42"/>
      <c r="H28" s="42"/>
      <c r="I28" s="42"/>
      <c r="J28" s="42"/>
      <c r="K28" s="42"/>
      <c r="L28" s="42"/>
      <c r="M28" s="42"/>
      <c r="N28" s="42"/>
    </row>
    <row r="29" spans="1:14" s="68" customFormat="1" ht="14.4" thickBot="1">
      <c r="A29" s="22"/>
      <c r="B29" s="38"/>
      <c r="C29" s="41"/>
      <c r="D29" s="38"/>
      <c r="E29" s="40"/>
      <c r="F29" s="39"/>
      <c r="G29" s="64"/>
      <c r="H29" s="64"/>
      <c r="I29" s="64"/>
      <c r="J29" s="64"/>
      <c r="K29" s="64"/>
      <c r="L29" s="64"/>
      <c r="M29" s="64"/>
      <c r="N29" s="64"/>
    </row>
    <row r="30" spans="1:14" s="23" customFormat="1" ht="12.75" customHeight="1">
      <c r="A30" s="222" t="s">
        <v>142</v>
      </c>
      <c r="B30" s="224" t="s">
        <v>143</v>
      </c>
      <c r="C30" s="229" t="s">
        <v>132</v>
      </c>
      <c r="D30" s="224" t="s">
        <v>124</v>
      </c>
      <c r="E30" s="224" t="s">
        <v>80</v>
      </c>
      <c r="F30" s="224" t="s">
        <v>7</v>
      </c>
      <c r="G30" s="232" t="s">
        <v>133</v>
      </c>
      <c r="H30" s="238" t="s">
        <v>134</v>
      </c>
      <c r="I30" s="239"/>
      <c r="J30" s="239"/>
      <c r="K30" s="239"/>
      <c r="L30" s="239"/>
      <c r="M30" s="239"/>
      <c r="N30" s="239"/>
    </row>
    <row r="31" spans="1:14" s="23" customFormat="1" ht="27.6">
      <c r="A31" s="235"/>
      <c r="B31" s="236"/>
      <c r="C31" s="237"/>
      <c r="D31" s="236"/>
      <c r="E31" s="236"/>
      <c r="F31" s="236"/>
      <c r="G31" s="233"/>
      <c r="H31" s="80" t="s">
        <v>135</v>
      </c>
      <c r="I31" s="80" t="s">
        <v>136</v>
      </c>
      <c r="J31" s="80" t="s">
        <v>137</v>
      </c>
      <c r="K31" s="80" t="s">
        <v>138</v>
      </c>
      <c r="L31" s="80" t="s">
        <v>139</v>
      </c>
      <c r="M31" s="80" t="s">
        <v>140</v>
      </c>
      <c r="N31" s="80" t="s">
        <v>141</v>
      </c>
    </row>
    <row r="32" spans="1:14" ht="29.25" customHeight="1" thickBot="1">
      <c r="A32" s="43" t="s">
        <v>102</v>
      </c>
      <c r="B32" s="30" t="s">
        <v>102</v>
      </c>
      <c r="C32" s="61" t="str">
        <f>VLOOKUP($E32,'[1]2018'!$D$27:$M$325,2,0)</f>
        <v>Aug</v>
      </c>
      <c r="D32" s="30"/>
      <c r="E32" s="60" t="s">
        <v>104</v>
      </c>
      <c r="F32" s="59" t="s">
        <v>103</v>
      </c>
      <c r="G32" s="49"/>
      <c r="H32" s="62"/>
      <c r="I32" s="62"/>
      <c r="J32" s="62"/>
      <c r="K32" s="62"/>
      <c r="L32" s="62"/>
      <c r="M32" s="62"/>
      <c r="N32" s="62"/>
    </row>
    <row r="33" spans="1:14" s="46" customFormat="1" ht="33" customHeight="1">
      <c r="A33" s="81" t="s">
        <v>107</v>
      </c>
      <c r="B33" s="81"/>
      <c r="C33" s="81"/>
      <c r="D33" s="81"/>
      <c r="E33" s="81"/>
      <c r="F33" s="81"/>
      <c r="G33" s="82"/>
      <c r="H33" s="82"/>
      <c r="I33" s="82"/>
      <c r="J33" s="82"/>
      <c r="K33" s="82"/>
      <c r="L33" s="82"/>
      <c r="M33" s="82"/>
      <c r="N33" s="82" t="e">
        <f>M33/G33</f>
        <v>#DIV/0!</v>
      </c>
    </row>
    <row r="34" spans="1:14">
      <c r="G34" s="42">
        <f>SUBTOTAL(9,G32:G32)</f>
        <v>0</v>
      </c>
      <c r="H34" s="42">
        <f>SUBTOTAL(9,H32:H32)</f>
        <v>0</v>
      </c>
      <c r="I34" s="42">
        <f>SUBTOTAL(9,I32:I32)</f>
        <v>0</v>
      </c>
      <c r="J34" s="42"/>
      <c r="K34" s="42">
        <f>SUBTOTAL(9,K32:K32)</f>
        <v>0</v>
      </c>
      <c r="L34" s="42"/>
      <c r="M34" s="42"/>
      <c r="N34" s="42">
        <f>SUBTOTAL(9,N32:N32)</f>
        <v>0</v>
      </c>
    </row>
    <row r="35" spans="1:14">
      <c r="G35" s="42"/>
      <c r="H35" s="42"/>
      <c r="I35" s="42"/>
      <c r="J35" s="42"/>
      <c r="K35" s="42"/>
      <c r="L35" s="42"/>
      <c r="M35" s="42"/>
      <c r="N35" s="42"/>
    </row>
    <row r="36" spans="1:14">
      <c r="G36" s="63">
        <f>SUBTOTAL(9,G8:G34)</f>
        <v>0</v>
      </c>
      <c r="H36" s="63">
        <f>SUBTOTAL(9,H8:H34)</f>
        <v>0</v>
      </c>
      <c r="I36" s="63">
        <f>SUBTOTAL(9,I8:I34)</f>
        <v>0</v>
      </c>
      <c r="J36" s="63"/>
      <c r="K36" s="63">
        <f>SUBTOTAL(9,K8:K34)</f>
        <v>0</v>
      </c>
      <c r="L36" s="63"/>
      <c r="M36" s="63"/>
      <c r="N36" s="63" t="e">
        <f>SUBTOTAL(9,N8:N34)</f>
        <v>#DIV/0!</v>
      </c>
    </row>
  </sheetData>
  <mergeCells count="32">
    <mergeCell ref="G8:G9"/>
    <mergeCell ref="H8:N8"/>
    <mergeCell ref="A15:A16"/>
    <mergeCell ref="B15:B16"/>
    <mergeCell ref="C15:C16"/>
    <mergeCell ref="D15:D16"/>
    <mergeCell ref="E15:E16"/>
    <mergeCell ref="F15:F16"/>
    <mergeCell ref="G15:G16"/>
    <mergeCell ref="H15:N15"/>
    <mergeCell ref="A8:A9"/>
    <mergeCell ref="B8:B9"/>
    <mergeCell ref="C8:C9"/>
    <mergeCell ref="D8:D9"/>
    <mergeCell ref="E8:E9"/>
    <mergeCell ref="F8:F9"/>
    <mergeCell ref="G23:G24"/>
    <mergeCell ref="H23:N23"/>
    <mergeCell ref="A30:A31"/>
    <mergeCell ref="B30:B31"/>
    <mergeCell ref="C30:C31"/>
    <mergeCell ref="D30:D31"/>
    <mergeCell ref="E30:E31"/>
    <mergeCell ref="F30:F31"/>
    <mergeCell ref="G30:G31"/>
    <mergeCell ref="H30:N30"/>
    <mergeCell ref="A23:A24"/>
    <mergeCell ref="B23:B24"/>
    <mergeCell ref="C23:C24"/>
    <mergeCell ref="D23:D24"/>
    <mergeCell ref="E23:E24"/>
    <mergeCell ref="F23:F24"/>
  </mergeCells>
  <hyperlinks>
    <hyperlink ref="L1" location="'List of reports'!A1" display="Trở về" xr:uid="{F5E7D749-1E76-4B22-BF6B-82CA59D2F89C}"/>
  </hyperlinks>
  <pageMargins left="0.28000000000000003" right="0.17" top="0.42" bottom="0.23" header="0.3" footer="0.17"/>
  <pageSetup scale="8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6"/>
  <sheetViews>
    <sheetView zoomScale="85" zoomScaleNormal="85" workbookViewId="0"/>
  </sheetViews>
  <sheetFormatPr defaultColWidth="8.88671875" defaultRowHeight="13.8"/>
  <cols>
    <col min="1" max="1" width="16" style="16" customWidth="1"/>
    <col min="2" max="2" width="12.44140625" style="17" customWidth="1"/>
    <col min="3" max="3" width="16.109375" style="21" customWidth="1"/>
    <col min="4" max="4" width="12.44140625" style="17" customWidth="1"/>
    <col min="5" max="5" width="14.6640625" style="17" customWidth="1"/>
    <col min="6" max="6" width="17.109375" style="17" customWidth="1"/>
    <col min="7" max="7" width="14.44140625" style="18" customWidth="1"/>
    <col min="8" max="9" width="16.44140625" style="18" bestFit="1" customWidth="1"/>
    <col min="10" max="10" width="16.44140625" style="18" customWidth="1"/>
    <col min="11" max="11" width="16.44140625" style="18" bestFit="1" customWidth="1"/>
    <col min="12" max="13" width="16.44140625" style="18" customWidth="1"/>
    <col min="14" max="14" width="16.44140625" style="18" bestFit="1" customWidth="1"/>
    <col min="15" max="255" width="8.88671875" style="20"/>
    <col min="256" max="256" width="16" style="20" customWidth="1"/>
    <col min="257" max="257" width="12.44140625" style="20" customWidth="1"/>
    <col min="258" max="258" width="17.109375" style="20" customWidth="1"/>
    <col min="259" max="259" width="14.6640625" style="20" customWidth="1"/>
    <col min="260" max="260" width="22.88671875" style="20" customWidth="1"/>
    <col min="261" max="262" width="14.44140625" style="20" customWidth="1"/>
    <col min="263" max="264" width="16.44140625" style="20" bestFit="1" customWidth="1"/>
    <col min="265" max="266" width="16.44140625" style="20" customWidth="1"/>
    <col min="267" max="267" width="29.109375" style="20" customWidth="1"/>
    <col min="268" max="268" width="33" style="20" customWidth="1"/>
    <col min="269" max="269" width="61.44140625" style="20" bestFit="1" customWidth="1"/>
    <col min="270" max="511" width="8.88671875" style="20"/>
    <col min="512" max="512" width="16" style="20" customWidth="1"/>
    <col min="513" max="513" width="12.44140625" style="20" customWidth="1"/>
    <col min="514" max="514" width="17.109375" style="20" customWidth="1"/>
    <col min="515" max="515" width="14.6640625" style="20" customWidth="1"/>
    <col min="516" max="516" width="22.88671875" style="20" customWidth="1"/>
    <col min="517" max="518" width="14.44140625" style="20" customWidth="1"/>
    <col min="519" max="520" width="16.44140625" style="20" bestFit="1" customWidth="1"/>
    <col min="521" max="522" width="16.44140625" style="20" customWidth="1"/>
    <col min="523" max="523" width="29.109375" style="20" customWidth="1"/>
    <col min="524" max="524" width="33" style="20" customWidth="1"/>
    <col min="525" max="525" width="61.44140625" style="20" bestFit="1" customWidth="1"/>
    <col min="526" max="767" width="8.88671875" style="20"/>
    <col min="768" max="768" width="16" style="20" customWidth="1"/>
    <col min="769" max="769" width="12.44140625" style="20" customWidth="1"/>
    <col min="770" max="770" width="17.109375" style="20" customWidth="1"/>
    <col min="771" max="771" width="14.6640625" style="20" customWidth="1"/>
    <col min="772" max="772" width="22.88671875" style="20" customWidth="1"/>
    <col min="773" max="774" width="14.44140625" style="20" customWidth="1"/>
    <col min="775" max="776" width="16.44140625" style="20" bestFit="1" customWidth="1"/>
    <col min="777" max="778" width="16.44140625" style="20" customWidth="1"/>
    <col min="779" max="779" width="29.109375" style="20" customWidth="1"/>
    <col min="780" max="780" width="33" style="20" customWidth="1"/>
    <col min="781" max="781" width="61.44140625" style="20" bestFit="1" customWidth="1"/>
    <col min="782" max="1023" width="8.88671875" style="20"/>
    <col min="1024" max="1024" width="16" style="20" customWidth="1"/>
    <col min="1025" max="1025" width="12.44140625" style="20" customWidth="1"/>
    <col min="1026" max="1026" width="17.109375" style="20" customWidth="1"/>
    <col min="1027" max="1027" width="14.6640625" style="20" customWidth="1"/>
    <col min="1028" max="1028" width="22.88671875" style="20" customWidth="1"/>
    <col min="1029" max="1030" width="14.44140625" style="20" customWidth="1"/>
    <col min="1031" max="1032" width="16.44140625" style="20" bestFit="1" customWidth="1"/>
    <col min="1033" max="1034" width="16.44140625" style="20" customWidth="1"/>
    <col min="1035" max="1035" width="29.109375" style="20" customWidth="1"/>
    <col min="1036" max="1036" width="33" style="20" customWidth="1"/>
    <col min="1037" max="1037" width="61.44140625" style="20" bestFit="1" customWidth="1"/>
    <col min="1038" max="1279" width="8.88671875" style="20"/>
    <col min="1280" max="1280" width="16" style="20" customWidth="1"/>
    <col min="1281" max="1281" width="12.44140625" style="20" customWidth="1"/>
    <col min="1282" max="1282" width="17.109375" style="20" customWidth="1"/>
    <col min="1283" max="1283" width="14.6640625" style="20" customWidth="1"/>
    <col min="1284" max="1284" width="22.88671875" style="20" customWidth="1"/>
    <col min="1285" max="1286" width="14.44140625" style="20" customWidth="1"/>
    <col min="1287" max="1288" width="16.44140625" style="20" bestFit="1" customWidth="1"/>
    <col min="1289" max="1290" width="16.44140625" style="20" customWidth="1"/>
    <col min="1291" max="1291" width="29.109375" style="20" customWidth="1"/>
    <col min="1292" max="1292" width="33" style="20" customWidth="1"/>
    <col min="1293" max="1293" width="61.44140625" style="20" bestFit="1" customWidth="1"/>
    <col min="1294" max="1535" width="8.88671875" style="20"/>
    <col min="1536" max="1536" width="16" style="20" customWidth="1"/>
    <col min="1537" max="1537" width="12.44140625" style="20" customWidth="1"/>
    <col min="1538" max="1538" width="17.109375" style="20" customWidth="1"/>
    <col min="1539" max="1539" width="14.6640625" style="20" customWidth="1"/>
    <col min="1540" max="1540" width="22.88671875" style="20" customWidth="1"/>
    <col min="1541" max="1542" width="14.44140625" style="20" customWidth="1"/>
    <col min="1543" max="1544" width="16.44140625" style="20" bestFit="1" customWidth="1"/>
    <col min="1545" max="1546" width="16.44140625" style="20" customWidth="1"/>
    <col min="1547" max="1547" width="29.109375" style="20" customWidth="1"/>
    <col min="1548" max="1548" width="33" style="20" customWidth="1"/>
    <col min="1549" max="1549" width="61.44140625" style="20" bestFit="1" customWidth="1"/>
    <col min="1550" max="1791" width="8.88671875" style="20"/>
    <col min="1792" max="1792" width="16" style="20" customWidth="1"/>
    <col min="1793" max="1793" width="12.44140625" style="20" customWidth="1"/>
    <col min="1794" max="1794" width="17.109375" style="20" customWidth="1"/>
    <col min="1795" max="1795" width="14.6640625" style="20" customWidth="1"/>
    <col min="1796" max="1796" width="22.88671875" style="20" customWidth="1"/>
    <col min="1797" max="1798" width="14.44140625" style="20" customWidth="1"/>
    <col min="1799" max="1800" width="16.44140625" style="20" bestFit="1" customWidth="1"/>
    <col min="1801" max="1802" width="16.44140625" style="20" customWidth="1"/>
    <col min="1803" max="1803" width="29.109375" style="20" customWidth="1"/>
    <col min="1804" max="1804" width="33" style="20" customWidth="1"/>
    <col min="1805" max="1805" width="61.44140625" style="20" bestFit="1" customWidth="1"/>
    <col min="1806" max="2047" width="8.88671875" style="20"/>
    <col min="2048" max="2048" width="16" style="20" customWidth="1"/>
    <col min="2049" max="2049" width="12.44140625" style="20" customWidth="1"/>
    <col min="2050" max="2050" width="17.109375" style="20" customWidth="1"/>
    <col min="2051" max="2051" width="14.6640625" style="20" customWidth="1"/>
    <col min="2052" max="2052" width="22.88671875" style="20" customWidth="1"/>
    <col min="2053" max="2054" width="14.44140625" style="20" customWidth="1"/>
    <col min="2055" max="2056" width="16.44140625" style="20" bestFit="1" customWidth="1"/>
    <col min="2057" max="2058" width="16.44140625" style="20" customWidth="1"/>
    <col min="2059" max="2059" width="29.109375" style="20" customWidth="1"/>
    <col min="2060" max="2060" width="33" style="20" customWidth="1"/>
    <col min="2061" max="2061" width="61.44140625" style="20" bestFit="1" customWidth="1"/>
    <col min="2062" max="2303" width="8.88671875" style="20"/>
    <col min="2304" max="2304" width="16" style="20" customWidth="1"/>
    <col min="2305" max="2305" width="12.44140625" style="20" customWidth="1"/>
    <col min="2306" max="2306" width="17.109375" style="20" customWidth="1"/>
    <col min="2307" max="2307" width="14.6640625" style="20" customWidth="1"/>
    <col min="2308" max="2308" width="22.88671875" style="20" customWidth="1"/>
    <col min="2309" max="2310" width="14.44140625" style="20" customWidth="1"/>
    <col min="2311" max="2312" width="16.44140625" style="20" bestFit="1" customWidth="1"/>
    <col min="2313" max="2314" width="16.44140625" style="20" customWidth="1"/>
    <col min="2315" max="2315" width="29.109375" style="20" customWidth="1"/>
    <col min="2316" max="2316" width="33" style="20" customWidth="1"/>
    <col min="2317" max="2317" width="61.44140625" style="20" bestFit="1" customWidth="1"/>
    <col min="2318" max="2559" width="8.88671875" style="20"/>
    <col min="2560" max="2560" width="16" style="20" customWidth="1"/>
    <col min="2561" max="2561" width="12.44140625" style="20" customWidth="1"/>
    <col min="2562" max="2562" width="17.109375" style="20" customWidth="1"/>
    <col min="2563" max="2563" width="14.6640625" style="20" customWidth="1"/>
    <col min="2564" max="2564" width="22.88671875" style="20" customWidth="1"/>
    <col min="2565" max="2566" width="14.44140625" style="20" customWidth="1"/>
    <col min="2567" max="2568" width="16.44140625" style="20" bestFit="1" customWidth="1"/>
    <col min="2569" max="2570" width="16.44140625" style="20" customWidth="1"/>
    <col min="2571" max="2571" width="29.109375" style="20" customWidth="1"/>
    <col min="2572" max="2572" width="33" style="20" customWidth="1"/>
    <col min="2573" max="2573" width="61.44140625" style="20" bestFit="1" customWidth="1"/>
    <col min="2574" max="2815" width="8.88671875" style="20"/>
    <col min="2816" max="2816" width="16" style="20" customWidth="1"/>
    <col min="2817" max="2817" width="12.44140625" style="20" customWidth="1"/>
    <col min="2818" max="2818" width="17.109375" style="20" customWidth="1"/>
    <col min="2819" max="2819" width="14.6640625" style="20" customWidth="1"/>
    <col min="2820" max="2820" width="22.88671875" style="20" customWidth="1"/>
    <col min="2821" max="2822" width="14.44140625" style="20" customWidth="1"/>
    <col min="2823" max="2824" width="16.44140625" style="20" bestFit="1" customWidth="1"/>
    <col min="2825" max="2826" width="16.44140625" style="20" customWidth="1"/>
    <col min="2827" max="2827" width="29.109375" style="20" customWidth="1"/>
    <col min="2828" max="2828" width="33" style="20" customWidth="1"/>
    <col min="2829" max="2829" width="61.44140625" style="20" bestFit="1" customWidth="1"/>
    <col min="2830" max="3071" width="8.88671875" style="20"/>
    <col min="3072" max="3072" width="16" style="20" customWidth="1"/>
    <col min="3073" max="3073" width="12.44140625" style="20" customWidth="1"/>
    <col min="3074" max="3074" width="17.109375" style="20" customWidth="1"/>
    <col min="3075" max="3075" width="14.6640625" style="20" customWidth="1"/>
    <col min="3076" max="3076" width="22.88671875" style="20" customWidth="1"/>
    <col min="3077" max="3078" width="14.44140625" style="20" customWidth="1"/>
    <col min="3079" max="3080" width="16.44140625" style="20" bestFit="1" customWidth="1"/>
    <col min="3081" max="3082" width="16.44140625" style="20" customWidth="1"/>
    <col min="3083" max="3083" width="29.109375" style="20" customWidth="1"/>
    <col min="3084" max="3084" width="33" style="20" customWidth="1"/>
    <col min="3085" max="3085" width="61.44140625" style="20" bestFit="1" customWidth="1"/>
    <col min="3086" max="3327" width="8.88671875" style="20"/>
    <col min="3328" max="3328" width="16" style="20" customWidth="1"/>
    <col min="3329" max="3329" width="12.44140625" style="20" customWidth="1"/>
    <col min="3330" max="3330" width="17.109375" style="20" customWidth="1"/>
    <col min="3331" max="3331" width="14.6640625" style="20" customWidth="1"/>
    <col min="3332" max="3332" width="22.88671875" style="20" customWidth="1"/>
    <col min="3333" max="3334" width="14.44140625" style="20" customWidth="1"/>
    <col min="3335" max="3336" width="16.44140625" style="20" bestFit="1" customWidth="1"/>
    <col min="3337" max="3338" width="16.44140625" style="20" customWidth="1"/>
    <col min="3339" max="3339" width="29.109375" style="20" customWidth="1"/>
    <col min="3340" max="3340" width="33" style="20" customWidth="1"/>
    <col min="3341" max="3341" width="61.44140625" style="20" bestFit="1" customWidth="1"/>
    <col min="3342" max="3583" width="8.88671875" style="20"/>
    <col min="3584" max="3584" width="16" style="20" customWidth="1"/>
    <col min="3585" max="3585" width="12.44140625" style="20" customWidth="1"/>
    <col min="3586" max="3586" width="17.109375" style="20" customWidth="1"/>
    <col min="3587" max="3587" width="14.6640625" style="20" customWidth="1"/>
    <col min="3588" max="3588" width="22.88671875" style="20" customWidth="1"/>
    <col min="3589" max="3590" width="14.44140625" style="20" customWidth="1"/>
    <col min="3591" max="3592" width="16.44140625" style="20" bestFit="1" customWidth="1"/>
    <col min="3593" max="3594" width="16.44140625" style="20" customWidth="1"/>
    <col min="3595" max="3595" width="29.109375" style="20" customWidth="1"/>
    <col min="3596" max="3596" width="33" style="20" customWidth="1"/>
    <col min="3597" max="3597" width="61.44140625" style="20" bestFit="1" customWidth="1"/>
    <col min="3598" max="3839" width="8.88671875" style="20"/>
    <col min="3840" max="3840" width="16" style="20" customWidth="1"/>
    <col min="3841" max="3841" width="12.44140625" style="20" customWidth="1"/>
    <col min="3842" max="3842" width="17.109375" style="20" customWidth="1"/>
    <col min="3843" max="3843" width="14.6640625" style="20" customWidth="1"/>
    <col min="3844" max="3844" width="22.88671875" style="20" customWidth="1"/>
    <col min="3845" max="3846" width="14.44140625" style="20" customWidth="1"/>
    <col min="3847" max="3848" width="16.44140625" style="20" bestFit="1" customWidth="1"/>
    <col min="3849" max="3850" width="16.44140625" style="20" customWidth="1"/>
    <col min="3851" max="3851" width="29.109375" style="20" customWidth="1"/>
    <col min="3852" max="3852" width="33" style="20" customWidth="1"/>
    <col min="3853" max="3853" width="61.44140625" style="20" bestFit="1" customWidth="1"/>
    <col min="3854" max="4095" width="8.88671875" style="20"/>
    <col min="4096" max="4096" width="16" style="20" customWidth="1"/>
    <col min="4097" max="4097" width="12.44140625" style="20" customWidth="1"/>
    <col min="4098" max="4098" width="17.109375" style="20" customWidth="1"/>
    <col min="4099" max="4099" width="14.6640625" style="20" customWidth="1"/>
    <col min="4100" max="4100" width="22.88671875" style="20" customWidth="1"/>
    <col min="4101" max="4102" width="14.44140625" style="20" customWidth="1"/>
    <col min="4103" max="4104" width="16.44140625" style="20" bestFit="1" customWidth="1"/>
    <col min="4105" max="4106" width="16.44140625" style="20" customWidth="1"/>
    <col min="4107" max="4107" width="29.109375" style="20" customWidth="1"/>
    <col min="4108" max="4108" width="33" style="20" customWidth="1"/>
    <col min="4109" max="4109" width="61.44140625" style="20" bestFit="1" customWidth="1"/>
    <col min="4110" max="4351" width="8.88671875" style="20"/>
    <col min="4352" max="4352" width="16" style="20" customWidth="1"/>
    <col min="4353" max="4353" width="12.44140625" style="20" customWidth="1"/>
    <col min="4354" max="4354" width="17.109375" style="20" customWidth="1"/>
    <col min="4355" max="4355" width="14.6640625" style="20" customWidth="1"/>
    <col min="4356" max="4356" width="22.88671875" style="20" customWidth="1"/>
    <col min="4357" max="4358" width="14.44140625" style="20" customWidth="1"/>
    <col min="4359" max="4360" width="16.44140625" style="20" bestFit="1" customWidth="1"/>
    <col min="4361" max="4362" width="16.44140625" style="20" customWidth="1"/>
    <col min="4363" max="4363" width="29.109375" style="20" customWidth="1"/>
    <col min="4364" max="4364" width="33" style="20" customWidth="1"/>
    <col min="4365" max="4365" width="61.44140625" style="20" bestFit="1" customWidth="1"/>
    <col min="4366" max="4607" width="8.88671875" style="20"/>
    <col min="4608" max="4608" width="16" style="20" customWidth="1"/>
    <col min="4609" max="4609" width="12.44140625" style="20" customWidth="1"/>
    <col min="4610" max="4610" width="17.109375" style="20" customWidth="1"/>
    <col min="4611" max="4611" width="14.6640625" style="20" customWidth="1"/>
    <col min="4612" max="4612" width="22.88671875" style="20" customWidth="1"/>
    <col min="4613" max="4614" width="14.44140625" style="20" customWidth="1"/>
    <col min="4615" max="4616" width="16.44140625" style="20" bestFit="1" customWidth="1"/>
    <col min="4617" max="4618" width="16.44140625" style="20" customWidth="1"/>
    <col min="4619" max="4619" width="29.109375" style="20" customWidth="1"/>
    <col min="4620" max="4620" width="33" style="20" customWidth="1"/>
    <col min="4621" max="4621" width="61.44140625" style="20" bestFit="1" customWidth="1"/>
    <col min="4622" max="4863" width="8.88671875" style="20"/>
    <col min="4864" max="4864" width="16" style="20" customWidth="1"/>
    <col min="4865" max="4865" width="12.44140625" style="20" customWidth="1"/>
    <col min="4866" max="4866" width="17.109375" style="20" customWidth="1"/>
    <col min="4867" max="4867" width="14.6640625" style="20" customWidth="1"/>
    <col min="4868" max="4868" width="22.88671875" style="20" customWidth="1"/>
    <col min="4869" max="4870" width="14.44140625" style="20" customWidth="1"/>
    <col min="4871" max="4872" width="16.44140625" style="20" bestFit="1" customWidth="1"/>
    <col min="4873" max="4874" width="16.44140625" style="20" customWidth="1"/>
    <col min="4875" max="4875" width="29.109375" style="20" customWidth="1"/>
    <col min="4876" max="4876" width="33" style="20" customWidth="1"/>
    <col min="4877" max="4877" width="61.44140625" style="20" bestFit="1" customWidth="1"/>
    <col min="4878" max="5119" width="8.88671875" style="20"/>
    <col min="5120" max="5120" width="16" style="20" customWidth="1"/>
    <col min="5121" max="5121" width="12.44140625" style="20" customWidth="1"/>
    <col min="5122" max="5122" width="17.109375" style="20" customWidth="1"/>
    <col min="5123" max="5123" width="14.6640625" style="20" customWidth="1"/>
    <col min="5124" max="5124" width="22.88671875" style="20" customWidth="1"/>
    <col min="5125" max="5126" width="14.44140625" style="20" customWidth="1"/>
    <col min="5127" max="5128" width="16.44140625" style="20" bestFit="1" customWidth="1"/>
    <col min="5129" max="5130" width="16.44140625" style="20" customWidth="1"/>
    <col min="5131" max="5131" width="29.109375" style="20" customWidth="1"/>
    <col min="5132" max="5132" width="33" style="20" customWidth="1"/>
    <col min="5133" max="5133" width="61.44140625" style="20" bestFit="1" customWidth="1"/>
    <col min="5134" max="5375" width="8.88671875" style="20"/>
    <col min="5376" max="5376" width="16" style="20" customWidth="1"/>
    <col min="5377" max="5377" width="12.44140625" style="20" customWidth="1"/>
    <col min="5378" max="5378" width="17.109375" style="20" customWidth="1"/>
    <col min="5379" max="5379" width="14.6640625" style="20" customWidth="1"/>
    <col min="5380" max="5380" width="22.88671875" style="20" customWidth="1"/>
    <col min="5381" max="5382" width="14.44140625" style="20" customWidth="1"/>
    <col min="5383" max="5384" width="16.44140625" style="20" bestFit="1" customWidth="1"/>
    <col min="5385" max="5386" width="16.44140625" style="20" customWidth="1"/>
    <col min="5387" max="5387" width="29.109375" style="20" customWidth="1"/>
    <col min="5388" max="5388" width="33" style="20" customWidth="1"/>
    <col min="5389" max="5389" width="61.44140625" style="20" bestFit="1" customWidth="1"/>
    <col min="5390" max="5631" width="8.88671875" style="20"/>
    <col min="5632" max="5632" width="16" style="20" customWidth="1"/>
    <col min="5633" max="5633" width="12.44140625" style="20" customWidth="1"/>
    <col min="5634" max="5634" width="17.109375" style="20" customWidth="1"/>
    <col min="5635" max="5635" width="14.6640625" style="20" customWidth="1"/>
    <col min="5636" max="5636" width="22.88671875" style="20" customWidth="1"/>
    <col min="5637" max="5638" width="14.44140625" style="20" customWidth="1"/>
    <col min="5639" max="5640" width="16.44140625" style="20" bestFit="1" customWidth="1"/>
    <col min="5641" max="5642" width="16.44140625" style="20" customWidth="1"/>
    <col min="5643" max="5643" width="29.109375" style="20" customWidth="1"/>
    <col min="5644" max="5644" width="33" style="20" customWidth="1"/>
    <col min="5645" max="5645" width="61.44140625" style="20" bestFit="1" customWidth="1"/>
    <col min="5646" max="5887" width="8.88671875" style="20"/>
    <col min="5888" max="5888" width="16" style="20" customWidth="1"/>
    <col min="5889" max="5889" width="12.44140625" style="20" customWidth="1"/>
    <col min="5890" max="5890" width="17.109375" style="20" customWidth="1"/>
    <col min="5891" max="5891" width="14.6640625" style="20" customWidth="1"/>
    <col min="5892" max="5892" width="22.88671875" style="20" customWidth="1"/>
    <col min="5893" max="5894" width="14.44140625" style="20" customWidth="1"/>
    <col min="5895" max="5896" width="16.44140625" style="20" bestFit="1" customWidth="1"/>
    <col min="5897" max="5898" width="16.44140625" style="20" customWidth="1"/>
    <col min="5899" max="5899" width="29.109375" style="20" customWidth="1"/>
    <col min="5900" max="5900" width="33" style="20" customWidth="1"/>
    <col min="5901" max="5901" width="61.44140625" style="20" bestFit="1" customWidth="1"/>
    <col min="5902" max="6143" width="8.88671875" style="20"/>
    <col min="6144" max="6144" width="16" style="20" customWidth="1"/>
    <col min="6145" max="6145" width="12.44140625" style="20" customWidth="1"/>
    <col min="6146" max="6146" width="17.109375" style="20" customWidth="1"/>
    <col min="6147" max="6147" width="14.6640625" style="20" customWidth="1"/>
    <col min="6148" max="6148" width="22.88671875" style="20" customWidth="1"/>
    <col min="6149" max="6150" width="14.44140625" style="20" customWidth="1"/>
    <col min="6151" max="6152" width="16.44140625" style="20" bestFit="1" customWidth="1"/>
    <col min="6153" max="6154" width="16.44140625" style="20" customWidth="1"/>
    <col min="6155" max="6155" width="29.109375" style="20" customWidth="1"/>
    <col min="6156" max="6156" width="33" style="20" customWidth="1"/>
    <col min="6157" max="6157" width="61.44140625" style="20" bestFit="1" customWidth="1"/>
    <col min="6158" max="6399" width="8.88671875" style="20"/>
    <col min="6400" max="6400" width="16" style="20" customWidth="1"/>
    <col min="6401" max="6401" width="12.44140625" style="20" customWidth="1"/>
    <col min="6402" max="6402" width="17.109375" style="20" customWidth="1"/>
    <col min="6403" max="6403" width="14.6640625" style="20" customWidth="1"/>
    <col min="6404" max="6404" width="22.88671875" style="20" customWidth="1"/>
    <col min="6405" max="6406" width="14.44140625" style="20" customWidth="1"/>
    <col min="6407" max="6408" width="16.44140625" style="20" bestFit="1" customWidth="1"/>
    <col min="6409" max="6410" width="16.44140625" style="20" customWidth="1"/>
    <col min="6411" max="6411" width="29.109375" style="20" customWidth="1"/>
    <col min="6412" max="6412" width="33" style="20" customWidth="1"/>
    <col min="6413" max="6413" width="61.44140625" style="20" bestFit="1" customWidth="1"/>
    <col min="6414" max="6655" width="8.88671875" style="20"/>
    <col min="6656" max="6656" width="16" style="20" customWidth="1"/>
    <col min="6657" max="6657" width="12.44140625" style="20" customWidth="1"/>
    <col min="6658" max="6658" width="17.109375" style="20" customWidth="1"/>
    <col min="6659" max="6659" width="14.6640625" style="20" customWidth="1"/>
    <col min="6660" max="6660" width="22.88671875" style="20" customWidth="1"/>
    <col min="6661" max="6662" width="14.44140625" style="20" customWidth="1"/>
    <col min="6663" max="6664" width="16.44140625" style="20" bestFit="1" customWidth="1"/>
    <col min="6665" max="6666" width="16.44140625" style="20" customWidth="1"/>
    <col min="6667" max="6667" width="29.109375" style="20" customWidth="1"/>
    <col min="6668" max="6668" width="33" style="20" customWidth="1"/>
    <col min="6669" max="6669" width="61.44140625" style="20" bestFit="1" customWidth="1"/>
    <col min="6670" max="6911" width="8.88671875" style="20"/>
    <col min="6912" max="6912" width="16" style="20" customWidth="1"/>
    <col min="6913" max="6913" width="12.44140625" style="20" customWidth="1"/>
    <col min="6914" max="6914" width="17.109375" style="20" customWidth="1"/>
    <col min="6915" max="6915" width="14.6640625" style="20" customWidth="1"/>
    <col min="6916" max="6916" width="22.88671875" style="20" customWidth="1"/>
    <col min="6917" max="6918" width="14.44140625" style="20" customWidth="1"/>
    <col min="6919" max="6920" width="16.44140625" style="20" bestFit="1" customWidth="1"/>
    <col min="6921" max="6922" width="16.44140625" style="20" customWidth="1"/>
    <col min="6923" max="6923" width="29.109375" style="20" customWidth="1"/>
    <col min="6924" max="6924" width="33" style="20" customWidth="1"/>
    <col min="6925" max="6925" width="61.44140625" style="20" bestFit="1" customWidth="1"/>
    <col min="6926" max="7167" width="8.88671875" style="20"/>
    <col min="7168" max="7168" width="16" style="20" customWidth="1"/>
    <col min="7169" max="7169" width="12.44140625" style="20" customWidth="1"/>
    <col min="7170" max="7170" width="17.109375" style="20" customWidth="1"/>
    <col min="7171" max="7171" width="14.6640625" style="20" customWidth="1"/>
    <col min="7172" max="7172" width="22.88671875" style="20" customWidth="1"/>
    <col min="7173" max="7174" width="14.44140625" style="20" customWidth="1"/>
    <col min="7175" max="7176" width="16.44140625" style="20" bestFit="1" customWidth="1"/>
    <col min="7177" max="7178" width="16.44140625" style="20" customWidth="1"/>
    <col min="7179" max="7179" width="29.109375" style="20" customWidth="1"/>
    <col min="7180" max="7180" width="33" style="20" customWidth="1"/>
    <col min="7181" max="7181" width="61.44140625" style="20" bestFit="1" customWidth="1"/>
    <col min="7182" max="7423" width="8.88671875" style="20"/>
    <col min="7424" max="7424" width="16" style="20" customWidth="1"/>
    <col min="7425" max="7425" width="12.44140625" style="20" customWidth="1"/>
    <col min="7426" max="7426" width="17.109375" style="20" customWidth="1"/>
    <col min="7427" max="7427" width="14.6640625" style="20" customWidth="1"/>
    <col min="7428" max="7428" width="22.88671875" style="20" customWidth="1"/>
    <col min="7429" max="7430" width="14.44140625" style="20" customWidth="1"/>
    <col min="7431" max="7432" width="16.44140625" style="20" bestFit="1" customWidth="1"/>
    <col min="7433" max="7434" width="16.44140625" style="20" customWidth="1"/>
    <col min="7435" max="7435" width="29.109375" style="20" customWidth="1"/>
    <col min="7436" max="7436" width="33" style="20" customWidth="1"/>
    <col min="7437" max="7437" width="61.44140625" style="20" bestFit="1" customWidth="1"/>
    <col min="7438" max="7679" width="8.88671875" style="20"/>
    <col min="7680" max="7680" width="16" style="20" customWidth="1"/>
    <col min="7681" max="7681" width="12.44140625" style="20" customWidth="1"/>
    <col min="7682" max="7682" width="17.109375" style="20" customWidth="1"/>
    <col min="7683" max="7683" width="14.6640625" style="20" customWidth="1"/>
    <col min="7684" max="7684" width="22.88671875" style="20" customWidth="1"/>
    <col min="7685" max="7686" width="14.44140625" style="20" customWidth="1"/>
    <col min="7687" max="7688" width="16.44140625" style="20" bestFit="1" customWidth="1"/>
    <col min="7689" max="7690" width="16.44140625" style="20" customWidth="1"/>
    <col min="7691" max="7691" width="29.109375" style="20" customWidth="1"/>
    <col min="7692" max="7692" width="33" style="20" customWidth="1"/>
    <col min="7693" max="7693" width="61.44140625" style="20" bestFit="1" customWidth="1"/>
    <col min="7694" max="7935" width="8.88671875" style="20"/>
    <col min="7936" max="7936" width="16" style="20" customWidth="1"/>
    <col min="7937" max="7937" width="12.44140625" style="20" customWidth="1"/>
    <col min="7938" max="7938" width="17.109375" style="20" customWidth="1"/>
    <col min="7939" max="7939" width="14.6640625" style="20" customWidth="1"/>
    <col min="7940" max="7940" width="22.88671875" style="20" customWidth="1"/>
    <col min="7941" max="7942" width="14.44140625" style="20" customWidth="1"/>
    <col min="7943" max="7944" width="16.44140625" style="20" bestFit="1" customWidth="1"/>
    <col min="7945" max="7946" width="16.44140625" style="20" customWidth="1"/>
    <col min="7947" max="7947" width="29.109375" style="20" customWidth="1"/>
    <col min="7948" max="7948" width="33" style="20" customWidth="1"/>
    <col min="7949" max="7949" width="61.44140625" style="20" bestFit="1" customWidth="1"/>
    <col min="7950" max="8191" width="8.88671875" style="20"/>
    <col min="8192" max="8192" width="16" style="20" customWidth="1"/>
    <col min="8193" max="8193" width="12.44140625" style="20" customWidth="1"/>
    <col min="8194" max="8194" width="17.109375" style="20" customWidth="1"/>
    <col min="8195" max="8195" width="14.6640625" style="20" customWidth="1"/>
    <col min="8196" max="8196" width="22.88671875" style="20" customWidth="1"/>
    <col min="8197" max="8198" width="14.44140625" style="20" customWidth="1"/>
    <col min="8199" max="8200" width="16.44140625" style="20" bestFit="1" customWidth="1"/>
    <col min="8201" max="8202" width="16.44140625" style="20" customWidth="1"/>
    <col min="8203" max="8203" width="29.109375" style="20" customWidth="1"/>
    <col min="8204" max="8204" width="33" style="20" customWidth="1"/>
    <col min="8205" max="8205" width="61.44140625" style="20" bestFit="1" customWidth="1"/>
    <col min="8206" max="8447" width="8.88671875" style="20"/>
    <col min="8448" max="8448" width="16" style="20" customWidth="1"/>
    <col min="8449" max="8449" width="12.44140625" style="20" customWidth="1"/>
    <col min="8450" max="8450" width="17.109375" style="20" customWidth="1"/>
    <col min="8451" max="8451" width="14.6640625" style="20" customWidth="1"/>
    <col min="8452" max="8452" width="22.88671875" style="20" customWidth="1"/>
    <col min="8453" max="8454" width="14.44140625" style="20" customWidth="1"/>
    <col min="8455" max="8456" width="16.44140625" style="20" bestFit="1" customWidth="1"/>
    <col min="8457" max="8458" width="16.44140625" style="20" customWidth="1"/>
    <col min="8459" max="8459" width="29.109375" style="20" customWidth="1"/>
    <col min="8460" max="8460" width="33" style="20" customWidth="1"/>
    <col min="8461" max="8461" width="61.44140625" style="20" bestFit="1" customWidth="1"/>
    <col min="8462" max="8703" width="8.88671875" style="20"/>
    <col min="8704" max="8704" width="16" style="20" customWidth="1"/>
    <col min="8705" max="8705" width="12.44140625" style="20" customWidth="1"/>
    <col min="8706" max="8706" width="17.109375" style="20" customWidth="1"/>
    <col min="8707" max="8707" width="14.6640625" style="20" customWidth="1"/>
    <col min="8708" max="8708" width="22.88671875" style="20" customWidth="1"/>
    <col min="8709" max="8710" width="14.44140625" style="20" customWidth="1"/>
    <col min="8711" max="8712" width="16.44140625" style="20" bestFit="1" customWidth="1"/>
    <col min="8713" max="8714" width="16.44140625" style="20" customWidth="1"/>
    <col min="8715" max="8715" width="29.109375" style="20" customWidth="1"/>
    <col min="8716" max="8716" width="33" style="20" customWidth="1"/>
    <col min="8717" max="8717" width="61.44140625" style="20" bestFit="1" customWidth="1"/>
    <col min="8718" max="8959" width="8.88671875" style="20"/>
    <col min="8960" max="8960" width="16" style="20" customWidth="1"/>
    <col min="8961" max="8961" width="12.44140625" style="20" customWidth="1"/>
    <col min="8962" max="8962" width="17.109375" style="20" customWidth="1"/>
    <col min="8963" max="8963" width="14.6640625" style="20" customWidth="1"/>
    <col min="8964" max="8964" width="22.88671875" style="20" customWidth="1"/>
    <col min="8965" max="8966" width="14.44140625" style="20" customWidth="1"/>
    <col min="8967" max="8968" width="16.44140625" style="20" bestFit="1" customWidth="1"/>
    <col min="8969" max="8970" width="16.44140625" style="20" customWidth="1"/>
    <col min="8971" max="8971" width="29.109375" style="20" customWidth="1"/>
    <col min="8972" max="8972" width="33" style="20" customWidth="1"/>
    <col min="8973" max="8973" width="61.44140625" style="20" bestFit="1" customWidth="1"/>
    <col min="8974" max="9215" width="8.88671875" style="20"/>
    <col min="9216" max="9216" width="16" style="20" customWidth="1"/>
    <col min="9217" max="9217" width="12.44140625" style="20" customWidth="1"/>
    <col min="9218" max="9218" width="17.109375" style="20" customWidth="1"/>
    <col min="9219" max="9219" width="14.6640625" style="20" customWidth="1"/>
    <col min="9220" max="9220" width="22.88671875" style="20" customWidth="1"/>
    <col min="9221" max="9222" width="14.44140625" style="20" customWidth="1"/>
    <col min="9223" max="9224" width="16.44140625" style="20" bestFit="1" customWidth="1"/>
    <col min="9225" max="9226" width="16.44140625" style="20" customWidth="1"/>
    <col min="9227" max="9227" width="29.109375" style="20" customWidth="1"/>
    <col min="9228" max="9228" width="33" style="20" customWidth="1"/>
    <col min="9229" max="9229" width="61.44140625" style="20" bestFit="1" customWidth="1"/>
    <col min="9230" max="9471" width="8.88671875" style="20"/>
    <col min="9472" max="9472" width="16" style="20" customWidth="1"/>
    <col min="9473" max="9473" width="12.44140625" style="20" customWidth="1"/>
    <col min="9474" max="9474" width="17.109375" style="20" customWidth="1"/>
    <col min="9475" max="9475" width="14.6640625" style="20" customWidth="1"/>
    <col min="9476" max="9476" width="22.88671875" style="20" customWidth="1"/>
    <col min="9477" max="9478" width="14.44140625" style="20" customWidth="1"/>
    <col min="9479" max="9480" width="16.44140625" style="20" bestFit="1" customWidth="1"/>
    <col min="9481" max="9482" width="16.44140625" style="20" customWidth="1"/>
    <col min="9483" max="9483" width="29.109375" style="20" customWidth="1"/>
    <col min="9484" max="9484" width="33" style="20" customWidth="1"/>
    <col min="9485" max="9485" width="61.44140625" style="20" bestFit="1" customWidth="1"/>
    <col min="9486" max="9727" width="8.88671875" style="20"/>
    <col min="9728" max="9728" width="16" style="20" customWidth="1"/>
    <col min="9729" max="9729" width="12.44140625" style="20" customWidth="1"/>
    <col min="9730" max="9730" width="17.109375" style="20" customWidth="1"/>
    <col min="9731" max="9731" width="14.6640625" style="20" customWidth="1"/>
    <col min="9732" max="9732" width="22.88671875" style="20" customWidth="1"/>
    <col min="9733" max="9734" width="14.44140625" style="20" customWidth="1"/>
    <col min="9735" max="9736" width="16.44140625" style="20" bestFit="1" customWidth="1"/>
    <col min="9737" max="9738" width="16.44140625" style="20" customWidth="1"/>
    <col min="9739" max="9739" width="29.109375" style="20" customWidth="1"/>
    <col min="9740" max="9740" width="33" style="20" customWidth="1"/>
    <col min="9741" max="9741" width="61.44140625" style="20" bestFit="1" customWidth="1"/>
    <col min="9742" max="9983" width="8.88671875" style="20"/>
    <col min="9984" max="9984" width="16" style="20" customWidth="1"/>
    <col min="9985" max="9985" width="12.44140625" style="20" customWidth="1"/>
    <col min="9986" max="9986" width="17.109375" style="20" customWidth="1"/>
    <col min="9987" max="9987" width="14.6640625" style="20" customWidth="1"/>
    <col min="9988" max="9988" width="22.88671875" style="20" customWidth="1"/>
    <col min="9989" max="9990" width="14.44140625" style="20" customWidth="1"/>
    <col min="9991" max="9992" width="16.44140625" style="20" bestFit="1" customWidth="1"/>
    <col min="9993" max="9994" width="16.44140625" style="20" customWidth="1"/>
    <col min="9995" max="9995" width="29.109375" style="20" customWidth="1"/>
    <col min="9996" max="9996" width="33" style="20" customWidth="1"/>
    <col min="9997" max="9997" width="61.44140625" style="20" bestFit="1" customWidth="1"/>
    <col min="9998" max="10239" width="8.88671875" style="20"/>
    <col min="10240" max="10240" width="16" style="20" customWidth="1"/>
    <col min="10241" max="10241" width="12.44140625" style="20" customWidth="1"/>
    <col min="10242" max="10242" width="17.109375" style="20" customWidth="1"/>
    <col min="10243" max="10243" width="14.6640625" style="20" customWidth="1"/>
    <col min="10244" max="10244" width="22.88671875" style="20" customWidth="1"/>
    <col min="10245" max="10246" width="14.44140625" style="20" customWidth="1"/>
    <col min="10247" max="10248" width="16.44140625" style="20" bestFit="1" customWidth="1"/>
    <col min="10249" max="10250" width="16.44140625" style="20" customWidth="1"/>
    <col min="10251" max="10251" width="29.109375" style="20" customWidth="1"/>
    <col min="10252" max="10252" width="33" style="20" customWidth="1"/>
    <col min="10253" max="10253" width="61.44140625" style="20" bestFit="1" customWidth="1"/>
    <col min="10254" max="10495" width="8.88671875" style="20"/>
    <col min="10496" max="10496" width="16" style="20" customWidth="1"/>
    <col min="10497" max="10497" width="12.44140625" style="20" customWidth="1"/>
    <col min="10498" max="10498" width="17.109375" style="20" customWidth="1"/>
    <col min="10499" max="10499" width="14.6640625" style="20" customWidth="1"/>
    <col min="10500" max="10500" width="22.88671875" style="20" customWidth="1"/>
    <col min="10501" max="10502" width="14.44140625" style="20" customWidth="1"/>
    <col min="10503" max="10504" width="16.44140625" style="20" bestFit="1" customWidth="1"/>
    <col min="10505" max="10506" width="16.44140625" style="20" customWidth="1"/>
    <col min="10507" max="10507" width="29.109375" style="20" customWidth="1"/>
    <col min="10508" max="10508" width="33" style="20" customWidth="1"/>
    <col min="10509" max="10509" width="61.44140625" style="20" bestFit="1" customWidth="1"/>
    <col min="10510" max="10751" width="8.88671875" style="20"/>
    <col min="10752" max="10752" width="16" style="20" customWidth="1"/>
    <col min="10753" max="10753" width="12.44140625" style="20" customWidth="1"/>
    <col min="10754" max="10754" width="17.109375" style="20" customWidth="1"/>
    <col min="10755" max="10755" width="14.6640625" style="20" customWidth="1"/>
    <col min="10756" max="10756" width="22.88671875" style="20" customWidth="1"/>
    <col min="10757" max="10758" width="14.44140625" style="20" customWidth="1"/>
    <col min="10759" max="10760" width="16.44140625" style="20" bestFit="1" customWidth="1"/>
    <col min="10761" max="10762" width="16.44140625" style="20" customWidth="1"/>
    <col min="10763" max="10763" width="29.109375" style="20" customWidth="1"/>
    <col min="10764" max="10764" width="33" style="20" customWidth="1"/>
    <col min="10765" max="10765" width="61.44140625" style="20" bestFit="1" customWidth="1"/>
    <col min="10766" max="11007" width="8.88671875" style="20"/>
    <col min="11008" max="11008" width="16" style="20" customWidth="1"/>
    <col min="11009" max="11009" width="12.44140625" style="20" customWidth="1"/>
    <col min="11010" max="11010" width="17.109375" style="20" customWidth="1"/>
    <col min="11011" max="11011" width="14.6640625" style="20" customWidth="1"/>
    <col min="11012" max="11012" width="22.88671875" style="20" customWidth="1"/>
    <col min="11013" max="11014" width="14.44140625" style="20" customWidth="1"/>
    <col min="11015" max="11016" width="16.44140625" style="20" bestFit="1" customWidth="1"/>
    <col min="11017" max="11018" width="16.44140625" style="20" customWidth="1"/>
    <col min="11019" max="11019" width="29.109375" style="20" customWidth="1"/>
    <col min="11020" max="11020" width="33" style="20" customWidth="1"/>
    <col min="11021" max="11021" width="61.44140625" style="20" bestFit="1" customWidth="1"/>
    <col min="11022" max="11263" width="8.88671875" style="20"/>
    <col min="11264" max="11264" width="16" style="20" customWidth="1"/>
    <col min="11265" max="11265" width="12.44140625" style="20" customWidth="1"/>
    <col min="11266" max="11266" width="17.109375" style="20" customWidth="1"/>
    <col min="11267" max="11267" width="14.6640625" style="20" customWidth="1"/>
    <col min="11268" max="11268" width="22.88671875" style="20" customWidth="1"/>
    <col min="11269" max="11270" width="14.44140625" style="20" customWidth="1"/>
    <col min="11271" max="11272" width="16.44140625" style="20" bestFit="1" customWidth="1"/>
    <col min="11273" max="11274" width="16.44140625" style="20" customWidth="1"/>
    <col min="11275" max="11275" width="29.109375" style="20" customWidth="1"/>
    <col min="11276" max="11276" width="33" style="20" customWidth="1"/>
    <col min="11277" max="11277" width="61.44140625" style="20" bestFit="1" customWidth="1"/>
    <col min="11278" max="11519" width="8.88671875" style="20"/>
    <col min="11520" max="11520" width="16" style="20" customWidth="1"/>
    <col min="11521" max="11521" width="12.44140625" style="20" customWidth="1"/>
    <col min="11522" max="11522" width="17.109375" style="20" customWidth="1"/>
    <col min="11523" max="11523" width="14.6640625" style="20" customWidth="1"/>
    <col min="11524" max="11524" width="22.88671875" style="20" customWidth="1"/>
    <col min="11525" max="11526" width="14.44140625" style="20" customWidth="1"/>
    <col min="11527" max="11528" width="16.44140625" style="20" bestFit="1" customWidth="1"/>
    <col min="11529" max="11530" width="16.44140625" style="20" customWidth="1"/>
    <col min="11531" max="11531" width="29.109375" style="20" customWidth="1"/>
    <col min="11532" max="11532" width="33" style="20" customWidth="1"/>
    <col min="11533" max="11533" width="61.44140625" style="20" bestFit="1" customWidth="1"/>
    <col min="11534" max="11775" width="8.88671875" style="20"/>
    <col min="11776" max="11776" width="16" style="20" customWidth="1"/>
    <col min="11777" max="11777" width="12.44140625" style="20" customWidth="1"/>
    <col min="11778" max="11778" width="17.109375" style="20" customWidth="1"/>
    <col min="11779" max="11779" width="14.6640625" style="20" customWidth="1"/>
    <col min="11780" max="11780" width="22.88671875" style="20" customWidth="1"/>
    <col min="11781" max="11782" width="14.44140625" style="20" customWidth="1"/>
    <col min="11783" max="11784" width="16.44140625" style="20" bestFit="1" customWidth="1"/>
    <col min="11785" max="11786" width="16.44140625" style="20" customWidth="1"/>
    <col min="11787" max="11787" width="29.109375" style="20" customWidth="1"/>
    <col min="11788" max="11788" width="33" style="20" customWidth="1"/>
    <col min="11789" max="11789" width="61.44140625" style="20" bestFit="1" customWidth="1"/>
    <col min="11790" max="12031" width="8.88671875" style="20"/>
    <col min="12032" max="12032" width="16" style="20" customWidth="1"/>
    <col min="12033" max="12033" width="12.44140625" style="20" customWidth="1"/>
    <col min="12034" max="12034" width="17.109375" style="20" customWidth="1"/>
    <col min="12035" max="12035" width="14.6640625" style="20" customWidth="1"/>
    <col min="12036" max="12036" width="22.88671875" style="20" customWidth="1"/>
    <col min="12037" max="12038" width="14.44140625" style="20" customWidth="1"/>
    <col min="12039" max="12040" width="16.44140625" style="20" bestFit="1" customWidth="1"/>
    <col min="12041" max="12042" width="16.44140625" style="20" customWidth="1"/>
    <col min="12043" max="12043" width="29.109375" style="20" customWidth="1"/>
    <col min="12044" max="12044" width="33" style="20" customWidth="1"/>
    <col min="12045" max="12045" width="61.44140625" style="20" bestFit="1" customWidth="1"/>
    <col min="12046" max="12287" width="8.88671875" style="20"/>
    <col min="12288" max="12288" width="16" style="20" customWidth="1"/>
    <col min="12289" max="12289" width="12.44140625" style="20" customWidth="1"/>
    <col min="12290" max="12290" width="17.109375" style="20" customWidth="1"/>
    <col min="12291" max="12291" width="14.6640625" style="20" customWidth="1"/>
    <col min="12292" max="12292" width="22.88671875" style="20" customWidth="1"/>
    <col min="12293" max="12294" width="14.44140625" style="20" customWidth="1"/>
    <col min="12295" max="12296" width="16.44140625" style="20" bestFit="1" customWidth="1"/>
    <col min="12297" max="12298" width="16.44140625" style="20" customWidth="1"/>
    <col min="12299" max="12299" width="29.109375" style="20" customWidth="1"/>
    <col min="12300" max="12300" width="33" style="20" customWidth="1"/>
    <col min="12301" max="12301" width="61.44140625" style="20" bestFit="1" customWidth="1"/>
    <col min="12302" max="12543" width="8.88671875" style="20"/>
    <col min="12544" max="12544" width="16" style="20" customWidth="1"/>
    <col min="12545" max="12545" width="12.44140625" style="20" customWidth="1"/>
    <col min="12546" max="12546" width="17.109375" style="20" customWidth="1"/>
    <col min="12547" max="12547" width="14.6640625" style="20" customWidth="1"/>
    <col min="12548" max="12548" width="22.88671875" style="20" customWidth="1"/>
    <col min="12549" max="12550" width="14.44140625" style="20" customWidth="1"/>
    <col min="12551" max="12552" width="16.44140625" style="20" bestFit="1" customWidth="1"/>
    <col min="12553" max="12554" width="16.44140625" style="20" customWidth="1"/>
    <col min="12555" max="12555" width="29.109375" style="20" customWidth="1"/>
    <col min="12556" max="12556" width="33" style="20" customWidth="1"/>
    <col min="12557" max="12557" width="61.44140625" style="20" bestFit="1" customWidth="1"/>
    <col min="12558" max="12799" width="8.88671875" style="20"/>
    <col min="12800" max="12800" width="16" style="20" customWidth="1"/>
    <col min="12801" max="12801" width="12.44140625" style="20" customWidth="1"/>
    <col min="12802" max="12802" width="17.109375" style="20" customWidth="1"/>
    <col min="12803" max="12803" width="14.6640625" style="20" customWidth="1"/>
    <col min="12804" max="12804" width="22.88671875" style="20" customWidth="1"/>
    <col min="12805" max="12806" width="14.44140625" style="20" customWidth="1"/>
    <col min="12807" max="12808" width="16.44140625" style="20" bestFit="1" customWidth="1"/>
    <col min="12809" max="12810" width="16.44140625" style="20" customWidth="1"/>
    <col min="12811" max="12811" width="29.109375" style="20" customWidth="1"/>
    <col min="12812" max="12812" width="33" style="20" customWidth="1"/>
    <col min="12813" max="12813" width="61.44140625" style="20" bestFit="1" customWidth="1"/>
    <col min="12814" max="13055" width="8.88671875" style="20"/>
    <col min="13056" max="13056" width="16" style="20" customWidth="1"/>
    <col min="13057" max="13057" width="12.44140625" style="20" customWidth="1"/>
    <col min="13058" max="13058" width="17.109375" style="20" customWidth="1"/>
    <col min="13059" max="13059" width="14.6640625" style="20" customWidth="1"/>
    <col min="13060" max="13060" width="22.88671875" style="20" customWidth="1"/>
    <col min="13061" max="13062" width="14.44140625" style="20" customWidth="1"/>
    <col min="13063" max="13064" width="16.44140625" style="20" bestFit="1" customWidth="1"/>
    <col min="13065" max="13066" width="16.44140625" style="20" customWidth="1"/>
    <col min="13067" max="13067" width="29.109375" style="20" customWidth="1"/>
    <col min="13068" max="13068" width="33" style="20" customWidth="1"/>
    <col min="13069" max="13069" width="61.44140625" style="20" bestFit="1" customWidth="1"/>
    <col min="13070" max="13311" width="8.88671875" style="20"/>
    <col min="13312" max="13312" width="16" style="20" customWidth="1"/>
    <col min="13313" max="13313" width="12.44140625" style="20" customWidth="1"/>
    <col min="13314" max="13314" width="17.109375" style="20" customWidth="1"/>
    <col min="13315" max="13315" width="14.6640625" style="20" customWidth="1"/>
    <col min="13316" max="13316" width="22.88671875" style="20" customWidth="1"/>
    <col min="13317" max="13318" width="14.44140625" style="20" customWidth="1"/>
    <col min="13319" max="13320" width="16.44140625" style="20" bestFit="1" customWidth="1"/>
    <col min="13321" max="13322" width="16.44140625" style="20" customWidth="1"/>
    <col min="13323" max="13323" width="29.109375" style="20" customWidth="1"/>
    <col min="13324" max="13324" width="33" style="20" customWidth="1"/>
    <col min="13325" max="13325" width="61.44140625" style="20" bestFit="1" customWidth="1"/>
    <col min="13326" max="13567" width="8.88671875" style="20"/>
    <col min="13568" max="13568" width="16" style="20" customWidth="1"/>
    <col min="13569" max="13569" width="12.44140625" style="20" customWidth="1"/>
    <col min="13570" max="13570" width="17.109375" style="20" customWidth="1"/>
    <col min="13571" max="13571" width="14.6640625" style="20" customWidth="1"/>
    <col min="13572" max="13572" width="22.88671875" style="20" customWidth="1"/>
    <col min="13573" max="13574" width="14.44140625" style="20" customWidth="1"/>
    <col min="13575" max="13576" width="16.44140625" style="20" bestFit="1" customWidth="1"/>
    <col min="13577" max="13578" width="16.44140625" style="20" customWidth="1"/>
    <col min="13579" max="13579" width="29.109375" style="20" customWidth="1"/>
    <col min="13580" max="13580" width="33" style="20" customWidth="1"/>
    <col min="13581" max="13581" width="61.44140625" style="20" bestFit="1" customWidth="1"/>
    <col min="13582" max="13823" width="8.88671875" style="20"/>
    <col min="13824" max="13824" width="16" style="20" customWidth="1"/>
    <col min="13825" max="13825" width="12.44140625" style="20" customWidth="1"/>
    <col min="13826" max="13826" width="17.109375" style="20" customWidth="1"/>
    <col min="13827" max="13827" width="14.6640625" style="20" customWidth="1"/>
    <col min="13828" max="13828" width="22.88671875" style="20" customWidth="1"/>
    <col min="13829" max="13830" width="14.44140625" style="20" customWidth="1"/>
    <col min="13831" max="13832" width="16.44140625" style="20" bestFit="1" customWidth="1"/>
    <col min="13833" max="13834" width="16.44140625" style="20" customWidth="1"/>
    <col min="13835" max="13835" width="29.109375" style="20" customWidth="1"/>
    <col min="13836" max="13836" width="33" style="20" customWidth="1"/>
    <col min="13837" max="13837" width="61.44140625" style="20" bestFit="1" customWidth="1"/>
    <col min="13838" max="14079" width="8.88671875" style="20"/>
    <col min="14080" max="14080" width="16" style="20" customWidth="1"/>
    <col min="14081" max="14081" width="12.44140625" style="20" customWidth="1"/>
    <col min="14082" max="14082" width="17.109375" style="20" customWidth="1"/>
    <col min="14083" max="14083" width="14.6640625" style="20" customWidth="1"/>
    <col min="14084" max="14084" width="22.88671875" style="20" customWidth="1"/>
    <col min="14085" max="14086" width="14.44140625" style="20" customWidth="1"/>
    <col min="14087" max="14088" width="16.44140625" style="20" bestFit="1" customWidth="1"/>
    <col min="14089" max="14090" width="16.44140625" style="20" customWidth="1"/>
    <col min="14091" max="14091" width="29.109375" style="20" customWidth="1"/>
    <col min="14092" max="14092" width="33" style="20" customWidth="1"/>
    <col min="14093" max="14093" width="61.44140625" style="20" bestFit="1" customWidth="1"/>
    <col min="14094" max="14335" width="8.88671875" style="20"/>
    <col min="14336" max="14336" width="16" style="20" customWidth="1"/>
    <col min="14337" max="14337" width="12.44140625" style="20" customWidth="1"/>
    <col min="14338" max="14338" width="17.109375" style="20" customWidth="1"/>
    <col min="14339" max="14339" width="14.6640625" style="20" customWidth="1"/>
    <col min="14340" max="14340" width="22.88671875" style="20" customWidth="1"/>
    <col min="14341" max="14342" width="14.44140625" style="20" customWidth="1"/>
    <col min="14343" max="14344" width="16.44140625" style="20" bestFit="1" customWidth="1"/>
    <col min="14345" max="14346" width="16.44140625" style="20" customWidth="1"/>
    <col min="14347" max="14347" width="29.109375" style="20" customWidth="1"/>
    <col min="14348" max="14348" width="33" style="20" customWidth="1"/>
    <col min="14349" max="14349" width="61.44140625" style="20" bestFit="1" customWidth="1"/>
    <col min="14350" max="14591" width="8.88671875" style="20"/>
    <col min="14592" max="14592" width="16" style="20" customWidth="1"/>
    <col min="14593" max="14593" width="12.44140625" style="20" customWidth="1"/>
    <col min="14594" max="14594" width="17.109375" style="20" customWidth="1"/>
    <col min="14595" max="14595" width="14.6640625" style="20" customWidth="1"/>
    <col min="14596" max="14596" width="22.88671875" style="20" customWidth="1"/>
    <col min="14597" max="14598" width="14.44140625" style="20" customWidth="1"/>
    <col min="14599" max="14600" width="16.44140625" style="20" bestFit="1" customWidth="1"/>
    <col min="14601" max="14602" width="16.44140625" style="20" customWidth="1"/>
    <col min="14603" max="14603" width="29.109375" style="20" customWidth="1"/>
    <col min="14604" max="14604" width="33" style="20" customWidth="1"/>
    <col min="14605" max="14605" width="61.44140625" style="20" bestFit="1" customWidth="1"/>
    <col min="14606" max="14847" width="8.88671875" style="20"/>
    <col min="14848" max="14848" width="16" style="20" customWidth="1"/>
    <col min="14849" max="14849" width="12.44140625" style="20" customWidth="1"/>
    <col min="14850" max="14850" width="17.109375" style="20" customWidth="1"/>
    <col min="14851" max="14851" width="14.6640625" style="20" customWidth="1"/>
    <col min="14852" max="14852" width="22.88671875" style="20" customWidth="1"/>
    <col min="14853" max="14854" width="14.44140625" style="20" customWidth="1"/>
    <col min="14855" max="14856" width="16.44140625" style="20" bestFit="1" customWidth="1"/>
    <col min="14857" max="14858" width="16.44140625" style="20" customWidth="1"/>
    <col min="14859" max="14859" width="29.109375" style="20" customWidth="1"/>
    <col min="14860" max="14860" width="33" style="20" customWidth="1"/>
    <col min="14861" max="14861" width="61.44140625" style="20" bestFit="1" customWidth="1"/>
    <col min="14862" max="15103" width="8.88671875" style="20"/>
    <col min="15104" max="15104" width="16" style="20" customWidth="1"/>
    <col min="15105" max="15105" width="12.44140625" style="20" customWidth="1"/>
    <col min="15106" max="15106" width="17.109375" style="20" customWidth="1"/>
    <col min="15107" max="15107" width="14.6640625" style="20" customWidth="1"/>
    <col min="15108" max="15108" width="22.88671875" style="20" customWidth="1"/>
    <col min="15109" max="15110" width="14.44140625" style="20" customWidth="1"/>
    <col min="15111" max="15112" width="16.44140625" style="20" bestFit="1" customWidth="1"/>
    <col min="15113" max="15114" width="16.44140625" style="20" customWidth="1"/>
    <col min="15115" max="15115" width="29.109375" style="20" customWidth="1"/>
    <col min="15116" max="15116" width="33" style="20" customWidth="1"/>
    <col min="15117" max="15117" width="61.44140625" style="20" bestFit="1" customWidth="1"/>
    <col min="15118" max="15359" width="8.88671875" style="20"/>
    <col min="15360" max="15360" width="16" style="20" customWidth="1"/>
    <col min="15361" max="15361" width="12.44140625" style="20" customWidth="1"/>
    <col min="15362" max="15362" width="17.109375" style="20" customWidth="1"/>
    <col min="15363" max="15363" width="14.6640625" style="20" customWidth="1"/>
    <col min="15364" max="15364" width="22.88671875" style="20" customWidth="1"/>
    <col min="15365" max="15366" width="14.44140625" style="20" customWidth="1"/>
    <col min="15367" max="15368" width="16.44140625" style="20" bestFit="1" customWidth="1"/>
    <col min="15369" max="15370" width="16.44140625" style="20" customWidth="1"/>
    <col min="15371" max="15371" width="29.109375" style="20" customWidth="1"/>
    <col min="15372" max="15372" width="33" style="20" customWidth="1"/>
    <col min="15373" max="15373" width="61.44140625" style="20" bestFit="1" customWidth="1"/>
    <col min="15374" max="15615" width="8.88671875" style="20"/>
    <col min="15616" max="15616" width="16" style="20" customWidth="1"/>
    <col min="15617" max="15617" width="12.44140625" style="20" customWidth="1"/>
    <col min="15618" max="15618" width="17.109375" style="20" customWidth="1"/>
    <col min="15619" max="15619" width="14.6640625" style="20" customWidth="1"/>
    <col min="15620" max="15620" width="22.88671875" style="20" customWidth="1"/>
    <col min="15621" max="15622" width="14.44140625" style="20" customWidth="1"/>
    <col min="15623" max="15624" width="16.44140625" style="20" bestFit="1" customWidth="1"/>
    <col min="15625" max="15626" width="16.44140625" style="20" customWidth="1"/>
    <col min="15627" max="15627" width="29.109375" style="20" customWidth="1"/>
    <col min="15628" max="15628" width="33" style="20" customWidth="1"/>
    <col min="15629" max="15629" width="61.44140625" style="20" bestFit="1" customWidth="1"/>
    <col min="15630" max="15871" width="8.88671875" style="20"/>
    <col min="15872" max="15872" width="16" style="20" customWidth="1"/>
    <col min="15873" max="15873" width="12.44140625" style="20" customWidth="1"/>
    <col min="15874" max="15874" width="17.109375" style="20" customWidth="1"/>
    <col min="15875" max="15875" width="14.6640625" style="20" customWidth="1"/>
    <col min="15876" max="15876" width="22.88671875" style="20" customWidth="1"/>
    <col min="15877" max="15878" width="14.44140625" style="20" customWidth="1"/>
    <col min="15879" max="15880" width="16.44140625" style="20" bestFit="1" customWidth="1"/>
    <col min="15881" max="15882" width="16.44140625" style="20" customWidth="1"/>
    <col min="15883" max="15883" width="29.109375" style="20" customWidth="1"/>
    <col min="15884" max="15884" width="33" style="20" customWidth="1"/>
    <col min="15885" max="15885" width="61.44140625" style="20" bestFit="1" customWidth="1"/>
    <col min="15886" max="16127" width="8.88671875" style="20"/>
    <col min="16128" max="16128" width="16" style="20" customWidth="1"/>
    <col min="16129" max="16129" width="12.44140625" style="20" customWidth="1"/>
    <col min="16130" max="16130" width="17.109375" style="20" customWidth="1"/>
    <col min="16131" max="16131" width="14.6640625" style="20" customWidth="1"/>
    <col min="16132" max="16132" width="22.88671875" style="20" customWidth="1"/>
    <col min="16133" max="16134" width="14.44140625" style="20" customWidth="1"/>
    <col min="16135" max="16136" width="16.44140625" style="20" bestFit="1" customWidth="1"/>
    <col min="16137" max="16138" width="16.44140625" style="20" customWidth="1"/>
    <col min="16139" max="16139" width="29.109375" style="20" customWidth="1"/>
    <col min="16140" max="16140" width="33" style="20" customWidth="1"/>
    <col min="16141" max="16141" width="61.44140625" style="20" bestFit="1" customWidth="1"/>
    <col min="16142" max="16384" width="8.88671875" style="20"/>
  </cols>
  <sheetData>
    <row r="1" spans="1:14" ht="14.4">
      <c r="J1" s="79"/>
      <c r="L1" s="75" t="s">
        <v>131</v>
      </c>
      <c r="M1" s="79"/>
    </row>
    <row r="3" spans="1:14" ht="31.2">
      <c r="G3" s="83" t="s">
        <v>316</v>
      </c>
    </row>
    <row r="4" spans="1:14">
      <c r="E4" s="17" t="s">
        <v>234</v>
      </c>
    </row>
    <row r="5" spans="1:14">
      <c r="E5" s="17" t="s">
        <v>235</v>
      </c>
    </row>
    <row r="7" spans="1:14" ht="14.4" thickBot="1"/>
    <row r="8" spans="1:14" s="23" customFormat="1" ht="12.75" customHeight="1">
      <c r="A8" s="222" t="s">
        <v>142</v>
      </c>
      <c r="B8" s="224" t="s">
        <v>143</v>
      </c>
      <c r="C8" s="229" t="s">
        <v>132</v>
      </c>
      <c r="D8" s="224" t="s">
        <v>124</v>
      </c>
      <c r="E8" s="224" t="s">
        <v>80</v>
      </c>
      <c r="F8" s="224" t="s">
        <v>7</v>
      </c>
      <c r="G8" s="232" t="s">
        <v>133</v>
      </c>
      <c r="H8" s="238" t="s">
        <v>134</v>
      </c>
      <c r="I8" s="239"/>
      <c r="J8" s="239"/>
      <c r="K8" s="239"/>
      <c r="L8" s="239"/>
      <c r="M8" s="239"/>
      <c r="N8" s="239"/>
    </row>
    <row r="9" spans="1:14" s="23" customFormat="1" ht="27.6">
      <c r="A9" s="235"/>
      <c r="B9" s="236"/>
      <c r="C9" s="237"/>
      <c r="D9" s="236"/>
      <c r="E9" s="236"/>
      <c r="F9" s="236"/>
      <c r="G9" s="233"/>
      <c r="H9" s="80" t="s">
        <v>135</v>
      </c>
      <c r="I9" s="80" t="s">
        <v>136</v>
      </c>
      <c r="J9" s="80" t="s">
        <v>137</v>
      </c>
      <c r="K9" s="80" t="s">
        <v>138</v>
      </c>
      <c r="L9" s="80" t="s">
        <v>139</v>
      </c>
      <c r="M9" s="80" t="s">
        <v>140</v>
      </c>
      <c r="N9" s="80" t="s">
        <v>141</v>
      </c>
    </row>
    <row r="10" spans="1:14" s="46" customFormat="1" ht="33" customHeight="1">
      <c r="A10" s="24"/>
      <c r="B10" s="25"/>
      <c r="C10" s="28"/>
      <c r="D10" s="25"/>
      <c r="E10" s="27" t="s">
        <v>87</v>
      </c>
      <c r="F10" s="26"/>
      <c r="G10" s="44"/>
      <c r="H10" s="44"/>
      <c r="I10" s="44"/>
      <c r="J10" s="44"/>
      <c r="K10" s="44"/>
      <c r="L10" s="44"/>
      <c r="M10" s="44">
        <f>SUM(I10:L10)</f>
        <v>0</v>
      </c>
      <c r="N10" s="44"/>
    </row>
    <row r="11" spans="1:14" s="46" customFormat="1" ht="33" customHeight="1">
      <c r="A11" s="50"/>
      <c r="B11" s="30"/>
      <c r="C11" s="33"/>
      <c r="D11" s="30"/>
      <c r="E11" s="32" t="s">
        <v>89</v>
      </c>
      <c r="F11" s="31"/>
      <c r="G11" s="47"/>
      <c r="H11" s="47"/>
      <c r="I11" s="47"/>
      <c r="J11" s="47"/>
      <c r="K11" s="47"/>
      <c r="L11" s="47"/>
      <c r="M11" s="44">
        <f t="shared" ref="M11:M12" si="0">SUM(I11:L11)</f>
        <v>0</v>
      </c>
      <c r="N11" s="47"/>
    </row>
    <row r="12" spans="1:14" s="46" customFormat="1" ht="33" customHeight="1">
      <c r="A12" s="50"/>
      <c r="B12" s="30"/>
      <c r="C12" s="33"/>
      <c r="D12" s="30"/>
      <c r="E12" s="32" t="s">
        <v>91</v>
      </c>
      <c r="F12" s="31"/>
      <c r="G12" s="47"/>
      <c r="H12" s="47"/>
      <c r="I12" s="47"/>
      <c r="J12" s="47"/>
      <c r="K12" s="47"/>
      <c r="L12" s="47"/>
      <c r="M12" s="44">
        <f t="shared" si="0"/>
        <v>0</v>
      </c>
      <c r="N12" s="47"/>
    </row>
    <row r="13" spans="1:14" s="46" customFormat="1" ht="33" customHeight="1">
      <c r="A13" s="81" t="s">
        <v>107</v>
      </c>
      <c r="B13" s="81"/>
      <c r="C13" s="81"/>
      <c r="D13" s="81"/>
      <c r="E13" s="81"/>
      <c r="F13" s="81"/>
      <c r="G13" s="82"/>
      <c r="H13" s="82"/>
      <c r="I13" s="82"/>
      <c r="J13" s="82"/>
      <c r="K13" s="82"/>
      <c r="L13" s="82"/>
      <c r="M13" s="82"/>
      <c r="N13" s="82" t="e">
        <f>M13/G13</f>
        <v>#DIV/0!</v>
      </c>
    </row>
    <row r="14" spans="1:14" s="46" customFormat="1" ht="33" customHeight="1" thickBot="1">
      <c r="A14" s="37"/>
      <c r="B14" s="37"/>
      <c r="C14" s="37"/>
      <c r="D14" s="37"/>
      <c r="E14" s="37"/>
      <c r="F14" s="37"/>
      <c r="G14" s="64"/>
      <c r="H14" s="64"/>
      <c r="I14" s="64"/>
      <c r="J14" s="64"/>
      <c r="K14" s="64"/>
      <c r="L14" s="64"/>
      <c r="M14" s="64"/>
      <c r="N14" s="64"/>
    </row>
    <row r="15" spans="1:14" s="23" customFormat="1" ht="12.75" customHeight="1">
      <c r="A15" s="222" t="s">
        <v>142</v>
      </c>
      <c r="B15" s="224" t="s">
        <v>143</v>
      </c>
      <c r="C15" s="229" t="s">
        <v>132</v>
      </c>
      <c r="D15" s="224" t="s">
        <v>124</v>
      </c>
      <c r="E15" s="224" t="s">
        <v>80</v>
      </c>
      <c r="F15" s="224" t="s">
        <v>7</v>
      </c>
      <c r="G15" s="232" t="s">
        <v>133</v>
      </c>
      <c r="H15" s="238" t="s">
        <v>134</v>
      </c>
      <c r="I15" s="239"/>
      <c r="J15" s="239"/>
      <c r="K15" s="239"/>
      <c r="L15" s="239"/>
      <c r="M15" s="239"/>
      <c r="N15" s="239"/>
    </row>
    <row r="16" spans="1:14" s="23" customFormat="1" ht="27.6">
      <c r="A16" s="235"/>
      <c r="B16" s="236"/>
      <c r="C16" s="237"/>
      <c r="D16" s="236"/>
      <c r="E16" s="236"/>
      <c r="F16" s="236"/>
      <c r="G16" s="233"/>
      <c r="H16" s="80" t="s">
        <v>135</v>
      </c>
      <c r="I16" s="80" t="s">
        <v>136</v>
      </c>
      <c r="J16" s="80" t="s">
        <v>137</v>
      </c>
      <c r="K16" s="80" t="s">
        <v>138</v>
      </c>
      <c r="L16" s="80" t="s">
        <v>139</v>
      </c>
      <c r="M16" s="80" t="s">
        <v>140</v>
      </c>
      <c r="N16" s="80" t="s">
        <v>141</v>
      </c>
    </row>
    <row r="17" spans="1:14" ht="27.6">
      <c r="A17" s="24" t="s">
        <v>92</v>
      </c>
      <c r="B17" s="25" t="s">
        <v>93</v>
      </c>
      <c r="C17" s="52" t="str">
        <f>VLOOKUP($E17,'[1]2018'!$D$27:$M$325,2,0)</f>
        <v>Sep'17-Feb'18</v>
      </c>
      <c r="D17" s="25"/>
      <c r="E17" s="27" t="s">
        <v>95</v>
      </c>
      <c r="F17" s="26" t="s">
        <v>94</v>
      </c>
      <c r="G17" s="44"/>
      <c r="H17" s="44"/>
      <c r="I17" s="44"/>
      <c r="J17" s="44"/>
      <c r="K17" s="44"/>
      <c r="L17" s="44"/>
      <c r="M17" s="44"/>
      <c r="N17" s="44"/>
    </row>
    <row r="18" spans="1:14" ht="28.2" thickBot="1">
      <c r="A18" s="43" t="s">
        <v>92</v>
      </c>
      <c r="B18" s="34" t="s">
        <v>93</v>
      </c>
      <c r="C18" s="53" t="str">
        <f>VLOOKUP($E18,'[1]2018'!$D$27:$M$325,2,0)</f>
        <v>Sep'17-Feb'18</v>
      </c>
      <c r="D18" s="34"/>
      <c r="E18" s="36" t="s">
        <v>97</v>
      </c>
      <c r="F18" s="35" t="s">
        <v>96</v>
      </c>
      <c r="G18" s="51"/>
      <c r="H18" s="51"/>
      <c r="I18" s="51"/>
      <c r="J18" s="51"/>
      <c r="K18" s="51"/>
      <c r="L18" s="51"/>
      <c r="M18" s="51"/>
      <c r="N18" s="51"/>
    </row>
    <row r="19" spans="1:14" s="46" customFormat="1" ht="33" customHeight="1">
      <c r="A19" s="81" t="s">
        <v>107</v>
      </c>
      <c r="B19" s="81"/>
      <c r="C19" s="81"/>
      <c r="D19" s="81"/>
      <c r="E19" s="81"/>
      <c r="F19" s="81"/>
      <c r="G19" s="82"/>
      <c r="H19" s="82"/>
      <c r="I19" s="82"/>
      <c r="J19" s="82"/>
      <c r="K19" s="82"/>
      <c r="L19" s="82"/>
      <c r="M19" s="82"/>
      <c r="N19" s="82" t="e">
        <f>M19/G19</f>
        <v>#DIV/0!</v>
      </c>
    </row>
    <row r="20" spans="1:14" s="46" customFormat="1">
      <c r="A20" s="37"/>
      <c r="B20" s="37"/>
      <c r="C20" s="37"/>
      <c r="D20" s="37"/>
      <c r="E20" s="37"/>
      <c r="F20" s="37"/>
      <c r="G20" s="64"/>
      <c r="H20" s="64"/>
      <c r="I20" s="64"/>
      <c r="J20" s="64"/>
      <c r="K20" s="64"/>
      <c r="L20" s="64"/>
      <c r="M20" s="64"/>
      <c r="N20" s="64"/>
    </row>
    <row r="21" spans="1:14">
      <c r="G21" s="42">
        <f>SUBTOTAL(9,G17:G18)</f>
        <v>0</v>
      </c>
      <c r="H21" s="42">
        <f>SUBTOTAL(9,H17:H18)</f>
        <v>0</v>
      </c>
      <c r="I21" s="42">
        <f>SUBTOTAL(9,I17:I18)</f>
        <v>0</v>
      </c>
      <c r="J21" s="42"/>
      <c r="K21" s="42">
        <f>SUBTOTAL(9,K17:K18)</f>
        <v>0</v>
      </c>
      <c r="L21" s="42"/>
      <c r="M21" s="42"/>
      <c r="N21" s="42">
        <f>SUBTOTAL(9,N17:N18)</f>
        <v>0</v>
      </c>
    </row>
    <row r="22" spans="1:14" s="68" customFormat="1" ht="14.4" thickBot="1">
      <c r="A22" s="22"/>
      <c r="B22" s="38"/>
      <c r="C22" s="41"/>
      <c r="D22" s="38"/>
      <c r="E22" s="40"/>
      <c r="F22" s="39"/>
      <c r="G22" s="64"/>
      <c r="H22" s="64"/>
      <c r="I22" s="64"/>
      <c r="J22" s="64"/>
      <c r="K22" s="64"/>
      <c r="L22" s="64"/>
      <c r="M22" s="64"/>
      <c r="N22" s="64"/>
    </row>
    <row r="23" spans="1:14" s="23" customFormat="1" ht="12.75" customHeight="1">
      <c r="A23" s="222" t="s">
        <v>142</v>
      </c>
      <c r="B23" s="224" t="s">
        <v>143</v>
      </c>
      <c r="C23" s="229" t="s">
        <v>132</v>
      </c>
      <c r="D23" s="224" t="s">
        <v>124</v>
      </c>
      <c r="E23" s="224" t="s">
        <v>80</v>
      </c>
      <c r="F23" s="224" t="s">
        <v>7</v>
      </c>
      <c r="G23" s="232" t="s">
        <v>133</v>
      </c>
      <c r="H23" s="238" t="s">
        <v>134</v>
      </c>
      <c r="I23" s="239"/>
      <c r="J23" s="239"/>
      <c r="K23" s="239"/>
      <c r="L23" s="239"/>
      <c r="M23" s="239"/>
      <c r="N23" s="239"/>
    </row>
    <row r="24" spans="1:14" s="23" customFormat="1" ht="27.6">
      <c r="A24" s="235"/>
      <c r="B24" s="236"/>
      <c r="C24" s="237"/>
      <c r="D24" s="236"/>
      <c r="E24" s="236"/>
      <c r="F24" s="236"/>
      <c r="G24" s="233"/>
      <c r="H24" s="80" t="s">
        <v>135</v>
      </c>
      <c r="I24" s="80" t="s">
        <v>136</v>
      </c>
      <c r="J24" s="80" t="s">
        <v>137</v>
      </c>
      <c r="K24" s="80" t="s">
        <v>138</v>
      </c>
      <c r="L24" s="80" t="s">
        <v>139</v>
      </c>
      <c r="M24" s="80" t="s">
        <v>140</v>
      </c>
      <c r="N24" s="80" t="s">
        <v>141</v>
      </c>
    </row>
    <row r="25" spans="1:14" ht="40.5" customHeight="1">
      <c r="A25" s="50" t="s">
        <v>98</v>
      </c>
      <c r="B25" s="30" t="s">
        <v>99</v>
      </c>
      <c r="C25" s="57" t="str">
        <f>VLOOKUP($E25,'[1]2018'!$D$27:$M$325,2,0)</f>
        <v>Apr - May</v>
      </c>
      <c r="D25" s="30"/>
      <c r="E25" s="56" t="s">
        <v>101</v>
      </c>
      <c r="F25" s="55" t="s">
        <v>100</v>
      </c>
      <c r="G25" s="49"/>
      <c r="H25" s="58"/>
      <c r="I25" s="58"/>
      <c r="J25" s="58"/>
      <c r="K25" s="58"/>
      <c r="L25" s="58"/>
      <c r="M25" s="58"/>
      <c r="N25" s="58"/>
    </row>
    <row r="26" spans="1:14" s="46" customFormat="1" ht="33" customHeight="1">
      <c r="A26" s="81" t="s">
        <v>107</v>
      </c>
      <c r="B26" s="81"/>
      <c r="C26" s="81"/>
      <c r="D26" s="81"/>
      <c r="E26" s="81"/>
      <c r="F26" s="81"/>
      <c r="G26" s="82"/>
      <c r="H26" s="82"/>
      <c r="I26" s="82"/>
      <c r="J26" s="82"/>
      <c r="K26" s="82"/>
      <c r="L26" s="82"/>
      <c r="M26" s="82"/>
      <c r="N26" s="82" t="e">
        <f>M26/G26</f>
        <v>#DIV/0!</v>
      </c>
    </row>
    <row r="27" spans="1:14">
      <c r="G27" s="42">
        <f>SUBTOTAL(9,G25:G25)</f>
        <v>0</v>
      </c>
      <c r="H27" s="42">
        <f>SUBTOTAL(9,H25:H25)</f>
        <v>0</v>
      </c>
      <c r="I27" s="42">
        <f>SUBTOTAL(9,I25:I25)</f>
        <v>0</v>
      </c>
      <c r="J27" s="42"/>
      <c r="K27" s="42">
        <f>SUBTOTAL(9,K25:K25)</f>
        <v>0</v>
      </c>
      <c r="L27" s="42"/>
      <c r="M27" s="42"/>
      <c r="N27" s="42">
        <f>SUBTOTAL(9,N25:N25)</f>
        <v>0</v>
      </c>
    </row>
    <row r="28" spans="1:14">
      <c r="G28" s="42"/>
      <c r="H28" s="42"/>
      <c r="I28" s="42"/>
      <c r="J28" s="42"/>
      <c r="K28" s="42"/>
      <c r="L28" s="42"/>
      <c r="M28" s="42"/>
      <c r="N28" s="42"/>
    </row>
    <row r="29" spans="1:14" s="68" customFormat="1" ht="14.4" thickBot="1">
      <c r="A29" s="22"/>
      <c r="B29" s="38"/>
      <c r="C29" s="41"/>
      <c r="D29" s="38"/>
      <c r="E29" s="40"/>
      <c r="F29" s="39"/>
      <c r="G29" s="64"/>
      <c r="H29" s="64"/>
      <c r="I29" s="64"/>
      <c r="J29" s="64"/>
      <c r="K29" s="64"/>
      <c r="L29" s="64"/>
      <c r="M29" s="64"/>
      <c r="N29" s="64"/>
    </row>
    <row r="30" spans="1:14" s="23" customFormat="1" ht="12.75" customHeight="1">
      <c r="A30" s="222" t="s">
        <v>142</v>
      </c>
      <c r="B30" s="224" t="s">
        <v>143</v>
      </c>
      <c r="C30" s="229" t="s">
        <v>132</v>
      </c>
      <c r="D30" s="224" t="s">
        <v>124</v>
      </c>
      <c r="E30" s="224" t="s">
        <v>80</v>
      </c>
      <c r="F30" s="224" t="s">
        <v>7</v>
      </c>
      <c r="G30" s="232" t="s">
        <v>133</v>
      </c>
      <c r="H30" s="238" t="s">
        <v>134</v>
      </c>
      <c r="I30" s="239"/>
      <c r="J30" s="239"/>
      <c r="K30" s="239"/>
      <c r="L30" s="239"/>
      <c r="M30" s="239"/>
      <c r="N30" s="239"/>
    </row>
    <row r="31" spans="1:14" s="23" customFormat="1" ht="27.6">
      <c r="A31" s="235"/>
      <c r="B31" s="236"/>
      <c r="C31" s="237"/>
      <c r="D31" s="236"/>
      <c r="E31" s="236"/>
      <c r="F31" s="236"/>
      <c r="G31" s="233"/>
      <c r="H31" s="80" t="s">
        <v>135</v>
      </c>
      <c r="I31" s="80" t="s">
        <v>136</v>
      </c>
      <c r="J31" s="80" t="s">
        <v>137</v>
      </c>
      <c r="K31" s="80" t="s">
        <v>138</v>
      </c>
      <c r="L31" s="80" t="s">
        <v>139</v>
      </c>
      <c r="M31" s="80" t="s">
        <v>140</v>
      </c>
      <c r="N31" s="80" t="s">
        <v>141</v>
      </c>
    </row>
    <row r="32" spans="1:14" ht="29.25" customHeight="1" thickBot="1">
      <c r="A32" s="43" t="s">
        <v>102</v>
      </c>
      <c r="B32" s="30" t="s">
        <v>102</v>
      </c>
      <c r="C32" s="61" t="str">
        <f>VLOOKUP($E32,'[1]2018'!$D$27:$M$325,2,0)</f>
        <v>Aug</v>
      </c>
      <c r="D32" s="30"/>
      <c r="E32" s="60" t="s">
        <v>104</v>
      </c>
      <c r="F32" s="59" t="s">
        <v>103</v>
      </c>
      <c r="G32" s="49"/>
      <c r="H32" s="62"/>
      <c r="I32" s="62"/>
      <c r="J32" s="62"/>
      <c r="K32" s="62"/>
      <c r="L32" s="62"/>
      <c r="M32" s="62"/>
      <c r="N32" s="62"/>
    </row>
    <row r="33" spans="1:14" s="46" customFormat="1" ht="33" customHeight="1">
      <c r="A33" s="81" t="s">
        <v>107</v>
      </c>
      <c r="B33" s="81"/>
      <c r="C33" s="81"/>
      <c r="D33" s="81"/>
      <c r="E33" s="81"/>
      <c r="F33" s="81"/>
      <c r="G33" s="82"/>
      <c r="H33" s="82"/>
      <c r="I33" s="82"/>
      <c r="J33" s="82"/>
      <c r="K33" s="82"/>
      <c r="L33" s="82"/>
      <c r="M33" s="82"/>
      <c r="N33" s="82" t="e">
        <f>M33/G33</f>
        <v>#DIV/0!</v>
      </c>
    </row>
    <row r="34" spans="1:14">
      <c r="G34" s="42">
        <f>SUBTOTAL(9,G32:G32)</f>
        <v>0</v>
      </c>
      <c r="H34" s="42">
        <f>SUBTOTAL(9,H32:H32)</f>
        <v>0</v>
      </c>
      <c r="I34" s="42">
        <f>SUBTOTAL(9,I32:I32)</f>
        <v>0</v>
      </c>
      <c r="J34" s="42"/>
      <c r="K34" s="42">
        <f>SUBTOTAL(9,K32:K32)</f>
        <v>0</v>
      </c>
      <c r="L34" s="42"/>
      <c r="M34" s="42"/>
      <c r="N34" s="42">
        <f>SUBTOTAL(9,N32:N32)</f>
        <v>0</v>
      </c>
    </row>
    <row r="35" spans="1:14">
      <c r="G35" s="42"/>
      <c r="H35" s="42"/>
      <c r="I35" s="42"/>
      <c r="J35" s="42"/>
      <c r="K35" s="42"/>
      <c r="L35" s="42"/>
      <c r="M35" s="42"/>
      <c r="N35" s="42"/>
    </row>
    <row r="36" spans="1:14">
      <c r="G36" s="63">
        <f>SUBTOTAL(9,G8:G34)</f>
        <v>0</v>
      </c>
      <c r="H36" s="63">
        <f>SUBTOTAL(9,H8:H34)</f>
        <v>0</v>
      </c>
      <c r="I36" s="63">
        <f>SUBTOTAL(9,I8:I34)</f>
        <v>0</v>
      </c>
      <c r="J36" s="63"/>
      <c r="K36" s="63">
        <f>SUBTOTAL(9,K8:K34)</f>
        <v>0</v>
      </c>
      <c r="L36" s="63"/>
      <c r="M36" s="63"/>
      <c r="N36" s="63" t="e">
        <f>SUBTOTAL(9,N8:N34)</f>
        <v>#DIV/0!</v>
      </c>
    </row>
  </sheetData>
  <mergeCells count="32">
    <mergeCell ref="H15:N15"/>
    <mergeCell ref="H23:N23"/>
    <mergeCell ref="H30:N30"/>
    <mergeCell ref="H8:N8"/>
    <mergeCell ref="A30:A31"/>
    <mergeCell ref="B30:B31"/>
    <mergeCell ref="C30:C31"/>
    <mergeCell ref="D30:D31"/>
    <mergeCell ref="E30:E31"/>
    <mergeCell ref="F30:F31"/>
    <mergeCell ref="G30:G31"/>
    <mergeCell ref="A23:A24"/>
    <mergeCell ref="B23:B24"/>
    <mergeCell ref="C23:C24"/>
    <mergeCell ref="D23:D24"/>
    <mergeCell ref="E23:E24"/>
    <mergeCell ref="F23:F24"/>
    <mergeCell ref="G23:G24"/>
    <mergeCell ref="G8:G9"/>
    <mergeCell ref="A15:A16"/>
    <mergeCell ref="B15:B16"/>
    <mergeCell ref="C15:C16"/>
    <mergeCell ref="D15:D16"/>
    <mergeCell ref="E15:E16"/>
    <mergeCell ref="F15:F16"/>
    <mergeCell ref="G15:G16"/>
    <mergeCell ref="A8:A9"/>
    <mergeCell ref="B8:B9"/>
    <mergeCell ref="C8:C9"/>
    <mergeCell ref="D8:D9"/>
    <mergeCell ref="E8:E9"/>
    <mergeCell ref="F8:F9"/>
  </mergeCells>
  <hyperlinks>
    <hyperlink ref="L1" location="'List of reports'!A1" display="Trở về" xr:uid="{00000000-0004-0000-0700-000000000000}"/>
  </hyperlinks>
  <pageMargins left="0.28000000000000003" right="0.17" top="0.42" bottom="0.23" header="0.3" footer="0.17"/>
  <pageSetup scale="8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9"/>
  <sheetViews>
    <sheetView showGridLines="0" zoomScale="90" zoomScaleNormal="90" workbookViewId="0">
      <pane xSplit="1" topLeftCell="B1" activePane="topRight" state="frozen"/>
      <selection pane="topRight" activeCell="A9" sqref="A9"/>
    </sheetView>
  </sheetViews>
  <sheetFormatPr defaultColWidth="11.44140625" defaultRowHeight="15.6"/>
  <cols>
    <col min="1" max="1" width="43.109375" style="87" customWidth="1"/>
    <col min="2" max="2" width="19.33203125" style="87" customWidth="1"/>
    <col min="3" max="3" width="18.5546875" style="87" customWidth="1"/>
    <col min="4" max="4" width="18.44140625" style="87" customWidth="1"/>
    <col min="5" max="5" width="18.88671875" style="87" customWidth="1"/>
    <col min="6" max="6" width="18" style="87" customWidth="1"/>
    <col min="7" max="7" width="17.5546875" style="87" customWidth="1"/>
    <col min="8" max="8" width="16.109375" style="87" customWidth="1"/>
    <col min="9" max="13" width="17" style="87" customWidth="1"/>
    <col min="14" max="14" width="16.88671875" style="87" bestFit="1" customWidth="1"/>
    <col min="15" max="16384" width="11.44140625" style="87"/>
  </cols>
  <sheetData>
    <row r="1" spans="1:14">
      <c r="G1" s="127" t="s">
        <v>131</v>
      </c>
    </row>
    <row r="2" spans="1:14" ht="25.8">
      <c r="C2" s="126" t="s">
        <v>319</v>
      </c>
    </row>
    <row r="4" spans="1:14">
      <c r="C4" s="87" t="s">
        <v>241</v>
      </c>
    </row>
    <row r="5" spans="1:14">
      <c r="C5" s="87" t="s">
        <v>242</v>
      </c>
      <c r="E5" s="87" t="s">
        <v>244</v>
      </c>
    </row>
    <row r="6" spans="1:14">
      <c r="C6" s="87" t="s">
        <v>243</v>
      </c>
    </row>
    <row r="8" spans="1:14" s="85" customFormat="1">
      <c r="A8" s="84"/>
    </row>
    <row r="9" spans="1:14" s="89" customFormat="1">
      <c r="B9" s="89" t="s">
        <v>148</v>
      </c>
      <c r="C9" s="89" t="s">
        <v>149</v>
      </c>
      <c r="D9" s="89" t="s">
        <v>150</v>
      </c>
      <c r="E9" s="89" t="s">
        <v>151</v>
      </c>
      <c r="F9" s="89" t="s">
        <v>152</v>
      </c>
      <c r="G9" s="89" t="s">
        <v>153</v>
      </c>
      <c r="H9" s="89" t="s">
        <v>154</v>
      </c>
      <c r="I9" s="89" t="s">
        <v>155</v>
      </c>
      <c r="J9" s="89" t="s">
        <v>156</v>
      </c>
      <c r="K9" s="89" t="s">
        <v>157</v>
      </c>
      <c r="L9" s="89" t="s">
        <v>158</v>
      </c>
      <c r="M9" s="89" t="s">
        <v>159</v>
      </c>
      <c r="N9" s="125" t="s">
        <v>181</v>
      </c>
    </row>
    <row r="10" spans="1:14">
      <c r="N10" s="109"/>
    </row>
    <row r="11" spans="1:14">
      <c r="A11" s="149" t="s">
        <v>238</v>
      </c>
      <c r="B11" s="87">
        <v>23665</v>
      </c>
      <c r="C11" s="87">
        <f t="shared" ref="C11:M11" si="0">B37</f>
        <v>922573</v>
      </c>
      <c r="D11" s="87">
        <f t="shared" si="0"/>
        <v>922573</v>
      </c>
      <c r="E11" s="87">
        <f t="shared" si="0"/>
        <v>922573</v>
      </c>
      <c r="F11" s="87">
        <f t="shared" si="0"/>
        <v>922573</v>
      </c>
      <c r="G11" s="87">
        <f t="shared" si="0"/>
        <v>922573</v>
      </c>
      <c r="H11" s="87">
        <f t="shared" si="0"/>
        <v>922573</v>
      </c>
      <c r="I11" s="87">
        <f t="shared" si="0"/>
        <v>922573</v>
      </c>
      <c r="J11" s="87">
        <f t="shared" si="0"/>
        <v>922573</v>
      </c>
      <c r="K11" s="87">
        <f t="shared" si="0"/>
        <v>922573</v>
      </c>
      <c r="L11" s="87">
        <f t="shared" si="0"/>
        <v>922573</v>
      </c>
      <c r="M11" s="87">
        <f t="shared" si="0"/>
        <v>922573</v>
      </c>
      <c r="N11" s="109">
        <f>B11</f>
        <v>23665</v>
      </c>
    </row>
    <row r="12" spans="1:14">
      <c r="N12" s="109"/>
    </row>
    <row r="13" spans="1:14">
      <c r="A13" s="149" t="s">
        <v>239</v>
      </c>
      <c r="N13" s="109"/>
    </row>
    <row r="14" spans="1:14">
      <c r="A14" s="128" t="s">
        <v>188</v>
      </c>
      <c r="B14" s="124">
        <v>2050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09">
        <f>SUM(B14:M14)</f>
        <v>2050</v>
      </c>
    </row>
    <row r="15" spans="1:14">
      <c r="A15" s="128" t="s">
        <v>189</v>
      </c>
      <c r="B15" s="124">
        <v>1555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09"/>
    </row>
    <row r="16" spans="1:14" s="102" customFormat="1">
      <c r="A16" s="99" t="s">
        <v>190</v>
      </c>
      <c r="B16" s="112">
        <f>B14-B15</f>
        <v>495</v>
      </c>
      <c r="C16" s="112">
        <f t="shared" ref="C16:M16" si="1">C14+C15</f>
        <v>0</v>
      </c>
      <c r="D16" s="112">
        <f t="shared" si="1"/>
        <v>0</v>
      </c>
      <c r="E16" s="112">
        <f t="shared" si="1"/>
        <v>0</v>
      </c>
      <c r="F16" s="112">
        <f t="shared" si="1"/>
        <v>0</v>
      </c>
      <c r="G16" s="112">
        <f t="shared" si="1"/>
        <v>0</v>
      </c>
      <c r="H16" s="112">
        <f t="shared" si="1"/>
        <v>0</v>
      </c>
      <c r="I16" s="112">
        <f t="shared" si="1"/>
        <v>0</v>
      </c>
      <c r="J16" s="112">
        <f t="shared" si="1"/>
        <v>0</v>
      </c>
      <c r="K16" s="112">
        <f t="shared" si="1"/>
        <v>0</v>
      </c>
      <c r="L16" s="112">
        <f t="shared" si="1"/>
        <v>0</v>
      </c>
      <c r="M16" s="112">
        <f t="shared" si="1"/>
        <v>0</v>
      </c>
      <c r="N16" s="111">
        <f ca="1">SUM(N14:N20)</f>
        <v>6604018</v>
      </c>
    </row>
    <row r="17" spans="1:14" s="131" customFormat="1">
      <c r="A17" s="149" t="s">
        <v>240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</row>
    <row r="18" spans="1:14" s="131" customFormat="1">
      <c r="A18" s="129" t="s">
        <v>166</v>
      </c>
      <c r="B18" s="130">
        <f>SUM(B19:B20)</f>
        <v>899575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</row>
    <row r="19" spans="1:14" s="113" customFormat="1">
      <c r="A19" s="113" t="s">
        <v>179</v>
      </c>
      <c r="N19" s="109"/>
    </row>
    <row r="20" spans="1:14" s="113" customFormat="1">
      <c r="A20" s="113" t="s">
        <v>178</v>
      </c>
      <c r="B20" s="113">
        <v>899575</v>
      </c>
      <c r="C20" s="113">
        <v>886643</v>
      </c>
      <c r="D20" s="113">
        <v>699306</v>
      </c>
      <c r="E20" s="113">
        <v>539424</v>
      </c>
      <c r="F20" s="113">
        <v>573978</v>
      </c>
      <c r="G20" s="113">
        <v>321745</v>
      </c>
      <c r="H20" s="113">
        <v>339801</v>
      </c>
      <c r="I20" s="113">
        <f>[2]Aug18!$C$19</f>
        <v>202366</v>
      </c>
      <c r="J20" s="113">
        <v>1922575</v>
      </c>
      <c r="K20" s="113">
        <f>'[3]Oct18 '!$C$19</f>
        <v>216555</v>
      </c>
      <c r="N20" s="109">
        <f>SUM(B20:M20)</f>
        <v>6601968</v>
      </c>
    </row>
    <row r="21" spans="1:14" s="104" customFormat="1">
      <c r="A21" s="129" t="s">
        <v>177</v>
      </c>
      <c r="B21" s="104">
        <f>SUM(B22:B32)/2</f>
        <v>1162</v>
      </c>
      <c r="N21" s="123"/>
    </row>
    <row r="22" spans="1:14">
      <c r="A22" s="104" t="s">
        <v>176</v>
      </c>
      <c r="B22" s="121">
        <f t="shared" ref="B22:N22" si="2">SUM(B23:B25)</f>
        <v>1238</v>
      </c>
      <c r="C22" s="121">
        <f t="shared" si="2"/>
        <v>0</v>
      </c>
      <c r="D22" s="121">
        <f t="shared" si="2"/>
        <v>0</v>
      </c>
      <c r="E22" s="121">
        <f t="shared" si="2"/>
        <v>0</v>
      </c>
      <c r="F22" s="121">
        <f t="shared" si="2"/>
        <v>0</v>
      </c>
      <c r="G22" s="121">
        <f t="shared" si="2"/>
        <v>0</v>
      </c>
      <c r="H22" s="121">
        <f t="shared" si="2"/>
        <v>0</v>
      </c>
      <c r="I22" s="121">
        <f t="shared" si="2"/>
        <v>0</v>
      </c>
      <c r="J22" s="121">
        <f t="shared" si="2"/>
        <v>0</v>
      </c>
      <c r="K22" s="121">
        <f t="shared" si="2"/>
        <v>0</v>
      </c>
      <c r="L22" s="121">
        <f t="shared" si="2"/>
        <v>0</v>
      </c>
      <c r="M22" s="121">
        <f t="shared" si="2"/>
        <v>0</v>
      </c>
      <c r="N22" s="120">
        <f t="shared" si="2"/>
        <v>1238</v>
      </c>
    </row>
    <row r="23" spans="1:14" ht="18.75" customHeight="1">
      <c r="A23" s="116" t="s">
        <v>175</v>
      </c>
      <c r="B23" s="122">
        <v>623</v>
      </c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09">
        <f>SUM(B23:M23)</f>
        <v>623</v>
      </c>
    </row>
    <row r="24" spans="1:14">
      <c r="A24" s="163" t="s">
        <v>237</v>
      </c>
      <c r="B24" s="122">
        <v>612</v>
      </c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09">
        <f>SUM(B24:M24)</f>
        <v>612</v>
      </c>
    </row>
    <row r="25" spans="1:14" s="149" customFormat="1">
      <c r="A25" s="163" t="s">
        <v>236</v>
      </c>
      <c r="B25" s="164">
        <v>3</v>
      </c>
      <c r="C25" s="164"/>
      <c r="D25" s="164"/>
      <c r="N25" s="165">
        <f>SUM(B25:M25)</f>
        <v>3</v>
      </c>
    </row>
    <row r="26" spans="1:14" s="104" customFormat="1">
      <c r="A26" s="104" t="s">
        <v>172</v>
      </c>
      <c r="B26" s="121">
        <f t="shared" ref="B26:N26" si="3">SUM(B27:B30)</f>
        <v>-76</v>
      </c>
      <c r="C26" s="121">
        <f t="shared" si="3"/>
        <v>0</v>
      </c>
      <c r="D26" s="121">
        <f t="shared" si="3"/>
        <v>0</v>
      </c>
      <c r="E26" s="121">
        <f t="shared" si="3"/>
        <v>0</v>
      </c>
      <c r="F26" s="121">
        <f t="shared" si="3"/>
        <v>0</v>
      </c>
      <c r="G26" s="121">
        <f t="shared" si="3"/>
        <v>0</v>
      </c>
      <c r="H26" s="121">
        <f t="shared" si="3"/>
        <v>0</v>
      </c>
      <c r="I26" s="121">
        <f t="shared" si="3"/>
        <v>0</v>
      </c>
      <c r="J26" s="121">
        <f t="shared" si="3"/>
        <v>0</v>
      </c>
      <c r="K26" s="121">
        <f t="shared" si="3"/>
        <v>0</v>
      </c>
      <c r="L26" s="121">
        <f t="shared" si="3"/>
        <v>0</v>
      </c>
      <c r="M26" s="121">
        <f t="shared" si="3"/>
        <v>0</v>
      </c>
      <c r="N26" s="120">
        <f t="shared" si="3"/>
        <v>-76</v>
      </c>
    </row>
    <row r="27" spans="1:14" s="117" customFormat="1">
      <c r="A27" s="119" t="s">
        <v>185</v>
      </c>
      <c r="B27" s="118">
        <v>-101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240">
        <f>SUM(B27:M29)</f>
        <v>-89</v>
      </c>
    </row>
    <row r="28" spans="1:14" s="117" customFormat="1">
      <c r="A28" s="119" t="s">
        <v>184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240"/>
    </row>
    <row r="29" spans="1:14">
      <c r="A29" s="116" t="s">
        <v>171</v>
      </c>
      <c r="B29" s="115">
        <v>12</v>
      </c>
      <c r="N29" s="240"/>
    </row>
    <row r="30" spans="1:14">
      <c r="A30" s="116" t="s">
        <v>170</v>
      </c>
      <c r="B30" s="115">
        <v>13</v>
      </c>
      <c r="E30" s="115"/>
      <c r="N30" s="109">
        <f>SUM(B30:M30)</f>
        <v>13</v>
      </c>
    </row>
    <row r="31" spans="1:14" s="113" customFormat="1">
      <c r="A31" s="113" t="s">
        <v>169</v>
      </c>
      <c r="C31" s="114"/>
      <c r="F31" s="114"/>
      <c r="G31" s="114"/>
      <c r="N31" s="109">
        <f>SUM(B31:M31)</f>
        <v>0</v>
      </c>
    </row>
    <row r="32" spans="1:14">
      <c r="A32" s="87" t="s">
        <v>168</v>
      </c>
      <c r="N32" s="109"/>
    </row>
    <row r="33" spans="1:14" s="102" customFormat="1">
      <c r="A33" s="99" t="s">
        <v>192</v>
      </c>
      <c r="B33" s="112">
        <f>B18-B21</f>
        <v>898413</v>
      </c>
      <c r="C33" s="112">
        <f t="shared" ref="C33:N33" si="4">C22+C26+C31+C32</f>
        <v>0</v>
      </c>
      <c r="D33" s="112">
        <f t="shared" si="4"/>
        <v>0</v>
      </c>
      <c r="E33" s="112">
        <f t="shared" si="4"/>
        <v>0</v>
      </c>
      <c r="F33" s="112">
        <f t="shared" si="4"/>
        <v>0</v>
      </c>
      <c r="G33" s="112">
        <f t="shared" si="4"/>
        <v>0</v>
      </c>
      <c r="H33" s="112">
        <f t="shared" si="4"/>
        <v>0</v>
      </c>
      <c r="I33" s="112">
        <f t="shared" si="4"/>
        <v>0</v>
      </c>
      <c r="J33" s="112">
        <f t="shared" si="4"/>
        <v>0</v>
      </c>
      <c r="K33" s="112">
        <f t="shared" si="4"/>
        <v>0</v>
      </c>
      <c r="L33" s="112">
        <f t="shared" si="4"/>
        <v>0</v>
      </c>
      <c r="M33" s="112">
        <f t="shared" si="4"/>
        <v>0</v>
      </c>
      <c r="N33" s="111">
        <f t="shared" si="4"/>
        <v>1162</v>
      </c>
    </row>
    <row r="34" spans="1:14">
      <c r="N34" s="109"/>
    </row>
    <row r="35" spans="1:14" s="102" customFormat="1">
      <c r="A35" s="110" t="s">
        <v>167</v>
      </c>
      <c r="B35" s="102">
        <f>B16+B33</f>
        <v>898908</v>
      </c>
      <c r="C35" s="102">
        <f t="shared" ref="C35:N35" si="5">C16-C33</f>
        <v>0</v>
      </c>
      <c r="D35" s="102">
        <f t="shared" si="5"/>
        <v>0</v>
      </c>
      <c r="E35" s="102">
        <f t="shared" si="5"/>
        <v>0</v>
      </c>
      <c r="F35" s="102">
        <f t="shared" si="5"/>
        <v>0</v>
      </c>
      <c r="G35" s="102">
        <f t="shared" si="5"/>
        <v>0</v>
      </c>
      <c r="H35" s="102">
        <f t="shared" si="5"/>
        <v>0</v>
      </c>
      <c r="I35" s="102">
        <f t="shared" si="5"/>
        <v>0</v>
      </c>
      <c r="J35" s="102">
        <f t="shared" si="5"/>
        <v>0</v>
      </c>
      <c r="K35" s="102">
        <f t="shared" si="5"/>
        <v>0</v>
      </c>
      <c r="L35" s="102">
        <f t="shared" si="5"/>
        <v>0</v>
      </c>
      <c r="M35" s="102">
        <f t="shared" si="5"/>
        <v>0</v>
      </c>
      <c r="N35" s="108">
        <f t="shared" ca="1" si="5"/>
        <v>6602856</v>
      </c>
    </row>
    <row r="36" spans="1:14">
      <c r="N36" s="109"/>
    </row>
    <row r="37" spans="1:14" s="107" customFormat="1">
      <c r="A37" s="102" t="s">
        <v>186</v>
      </c>
      <c r="B37" s="102">
        <f t="shared" ref="B37:N37" si="6">B11+B35</f>
        <v>922573</v>
      </c>
      <c r="C37" s="102">
        <f t="shared" si="6"/>
        <v>922573</v>
      </c>
      <c r="D37" s="102">
        <f t="shared" si="6"/>
        <v>922573</v>
      </c>
      <c r="E37" s="102">
        <f t="shared" si="6"/>
        <v>922573</v>
      </c>
      <c r="F37" s="102">
        <f t="shared" si="6"/>
        <v>922573</v>
      </c>
      <c r="G37" s="102">
        <f t="shared" si="6"/>
        <v>922573</v>
      </c>
      <c r="H37" s="102">
        <f t="shared" si="6"/>
        <v>922573</v>
      </c>
      <c r="I37" s="102">
        <f t="shared" si="6"/>
        <v>922573</v>
      </c>
      <c r="J37" s="102">
        <f t="shared" si="6"/>
        <v>922573</v>
      </c>
      <c r="K37" s="102">
        <f t="shared" si="6"/>
        <v>922573</v>
      </c>
      <c r="L37" s="102">
        <f t="shared" si="6"/>
        <v>922573</v>
      </c>
      <c r="M37" s="102">
        <f t="shared" si="6"/>
        <v>922573</v>
      </c>
      <c r="N37" s="108">
        <f t="shared" ca="1" si="6"/>
        <v>6626521</v>
      </c>
    </row>
    <row r="39" spans="1:14" ht="17.25" customHeight="1"/>
  </sheetData>
  <mergeCells count="1">
    <mergeCell ref="N27:N29"/>
  </mergeCells>
  <conditionalFormatting sqref="B37:M37 B35:IV35">
    <cfRule type="cellIs" dxfId="15" priority="2" operator="lessThan">
      <formula>0</formula>
    </cfRule>
  </conditionalFormatting>
  <conditionalFormatting sqref="N37">
    <cfRule type="cellIs" dxfId="14" priority="1" operator="lessThan">
      <formula>0</formula>
    </cfRule>
  </conditionalFormatting>
  <hyperlinks>
    <hyperlink ref="G1" location="'List of reports'!A1" display="Trở về" xr:uid="{00000000-0004-0000-0800-000000000000}"/>
  </hyperlinks>
  <printOptions horizontalCentered="1"/>
  <pageMargins left="0" right="0" top="0.75" bottom="0.75" header="0.3" footer="0.3"/>
  <pageSetup paperSize="9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9"/>
  <sheetViews>
    <sheetView showGridLines="0" zoomScale="90" zoomScaleNormal="90" workbookViewId="0">
      <pane xSplit="1" topLeftCell="B1" activePane="topRight" state="frozen"/>
      <selection pane="topRight" activeCell="C7" sqref="C7"/>
    </sheetView>
  </sheetViews>
  <sheetFormatPr defaultColWidth="11.44140625" defaultRowHeight="15.6"/>
  <cols>
    <col min="1" max="1" width="43.109375" style="87" customWidth="1"/>
    <col min="2" max="2" width="19.33203125" style="87" customWidth="1"/>
    <col min="3" max="3" width="18.5546875" style="87" customWidth="1"/>
    <col min="4" max="4" width="18.44140625" style="87" customWidth="1"/>
    <col min="5" max="5" width="18.88671875" style="87" customWidth="1"/>
    <col min="6" max="6" width="18" style="87" customWidth="1"/>
    <col min="7" max="7" width="17.5546875" style="87" customWidth="1"/>
    <col min="8" max="8" width="16.109375" style="87" customWidth="1"/>
    <col min="9" max="13" width="17" style="87" customWidth="1"/>
    <col min="14" max="14" width="16.88671875" style="87" bestFit="1" customWidth="1"/>
    <col min="15" max="16384" width="11.44140625" style="87"/>
  </cols>
  <sheetData>
    <row r="1" spans="1:14">
      <c r="G1" s="127" t="s">
        <v>131</v>
      </c>
    </row>
    <row r="2" spans="1:14" ht="25.8">
      <c r="C2" s="126" t="s">
        <v>320</v>
      </c>
    </row>
    <row r="4" spans="1:14">
      <c r="C4" s="87" t="s">
        <v>241</v>
      </c>
    </row>
    <row r="5" spans="1:14">
      <c r="C5" s="87" t="s">
        <v>242</v>
      </c>
      <c r="E5" s="87" t="s">
        <v>244</v>
      </c>
    </row>
    <row r="6" spans="1:14">
      <c r="C6" s="87" t="s">
        <v>243</v>
      </c>
    </row>
    <row r="8" spans="1:14" s="85" customFormat="1">
      <c r="A8" s="84"/>
    </row>
    <row r="9" spans="1:14" s="89" customFormat="1">
      <c r="B9" s="89" t="s">
        <v>148</v>
      </c>
      <c r="C9" s="89" t="s">
        <v>149</v>
      </c>
      <c r="D9" s="89" t="s">
        <v>150</v>
      </c>
      <c r="E9" s="89" t="s">
        <v>151</v>
      </c>
      <c r="F9" s="89" t="s">
        <v>152</v>
      </c>
      <c r="G9" s="89" t="s">
        <v>153</v>
      </c>
      <c r="H9" s="89" t="s">
        <v>154</v>
      </c>
      <c r="I9" s="89" t="s">
        <v>155</v>
      </c>
      <c r="J9" s="89" t="s">
        <v>156</v>
      </c>
      <c r="K9" s="89" t="s">
        <v>157</v>
      </c>
      <c r="L9" s="89" t="s">
        <v>158</v>
      </c>
      <c r="M9" s="89" t="s">
        <v>159</v>
      </c>
      <c r="N9" s="125" t="s">
        <v>181</v>
      </c>
    </row>
    <row r="10" spans="1:14">
      <c r="N10" s="109"/>
    </row>
    <row r="11" spans="1:14">
      <c r="A11" s="149"/>
      <c r="B11" s="87">
        <v>23665</v>
      </c>
      <c r="C11" s="87">
        <f t="shared" ref="C11:M11" si="0">B37</f>
        <v>922573</v>
      </c>
      <c r="D11" s="87">
        <f t="shared" si="0"/>
        <v>922573</v>
      </c>
      <c r="E11" s="87">
        <f t="shared" si="0"/>
        <v>922573</v>
      </c>
      <c r="F11" s="87">
        <f t="shared" si="0"/>
        <v>922573</v>
      </c>
      <c r="G11" s="87">
        <f t="shared" si="0"/>
        <v>922573</v>
      </c>
      <c r="H11" s="87">
        <f t="shared" si="0"/>
        <v>922573</v>
      </c>
      <c r="I11" s="87">
        <f t="shared" si="0"/>
        <v>922573</v>
      </c>
      <c r="J11" s="87">
        <f t="shared" si="0"/>
        <v>922573</v>
      </c>
      <c r="K11" s="87">
        <f t="shared" si="0"/>
        <v>922573</v>
      </c>
      <c r="L11" s="87">
        <f t="shared" si="0"/>
        <v>922573</v>
      </c>
      <c r="M11" s="87">
        <f t="shared" si="0"/>
        <v>922573</v>
      </c>
      <c r="N11" s="109">
        <f>B11</f>
        <v>23665</v>
      </c>
    </row>
    <row r="12" spans="1:14">
      <c r="N12" s="109"/>
    </row>
    <row r="13" spans="1:14">
      <c r="A13" s="104" t="s">
        <v>202</v>
      </c>
      <c r="N13" s="109"/>
    </row>
    <row r="14" spans="1:14">
      <c r="A14" s="128" t="s">
        <v>197</v>
      </c>
      <c r="B14" s="124">
        <v>2050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09">
        <f>SUM(B14:M14)</f>
        <v>2050</v>
      </c>
    </row>
    <row r="15" spans="1:14">
      <c r="A15" s="128" t="s">
        <v>198</v>
      </c>
      <c r="B15" s="124">
        <v>1555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09"/>
    </row>
    <row r="16" spans="1:14" s="102" customFormat="1">
      <c r="A16" s="112" t="s">
        <v>203</v>
      </c>
      <c r="B16" s="112">
        <f>B14-B15</f>
        <v>495</v>
      </c>
      <c r="C16" s="112">
        <f t="shared" ref="C16:M16" si="1">C14+C15</f>
        <v>0</v>
      </c>
      <c r="D16" s="112">
        <f t="shared" si="1"/>
        <v>0</v>
      </c>
      <c r="E16" s="112">
        <f t="shared" si="1"/>
        <v>0</v>
      </c>
      <c r="F16" s="112">
        <f t="shared" si="1"/>
        <v>0</v>
      </c>
      <c r="G16" s="112">
        <f t="shared" si="1"/>
        <v>0</v>
      </c>
      <c r="H16" s="112">
        <f t="shared" si="1"/>
        <v>0</v>
      </c>
      <c r="I16" s="112">
        <f t="shared" si="1"/>
        <v>0</v>
      </c>
      <c r="J16" s="112">
        <f t="shared" si="1"/>
        <v>0</v>
      </c>
      <c r="K16" s="112">
        <f t="shared" si="1"/>
        <v>0</v>
      </c>
      <c r="L16" s="112">
        <f t="shared" si="1"/>
        <v>0</v>
      </c>
      <c r="M16" s="112">
        <f t="shared" si="1"/>
        <v>0</v>
      </c>
      <c r="N16" s="111">
        <f ca="1">SUM(N14:N20)</f>
        <v>6604018</v>
      </c>
    </row>
    <row r="17" spans="1:14" s="131" customFormat="1">
      <c r="A17" s="104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</row>
    <row r="18" spans="1:14" s="131" customFormat="1">
      <c r="A18" s="129" t="s">
        <v>204</v>
      </c>
      <c r="B18" s="130">
        <f>SUM(B19:B20)</f>
        <v>899575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</row>
    <row r="19" spans="1:14" s="113" customFormat="1">
      <c r="A19" s="113" t="s">
        <v>200</v>
      </c>
      <c r="N19" s="109"/>
    </row>
    <row r="20" spans="1:14" s="113" customFormat="1">
      <c r="A20" s="113" t="s">
        <v>199</v>
      </c>
      <c r="B20" s="113">
        <v>899575</v>
      </c>
      <c r="C20" s="113">
        <v>886643</v>
      </c>
      <c r="D20" s="113">
        <v>699306</v>
      </c>
      <c r="E20" s="113">
        <v>539424</v>
      </c>
      <c r="F20" s="113">
        <v>573978</v>
      </c>
      <c r="G20" s="113">
        <v>321745</v>
      </c>
      <c r="H20" s="113">
        <v>339801</v>
      </c>
      <c r="I20" s="113">
        <f>[2]Aug18!$C$19</f>
        <v>202366</v>
      </c>
      <c r="J20" s="113">
        <v>1922575</v>
      </c>
      <c r="K20" s="113">
        <f>'[3]Oct18 '!$C$19</f>
        <v>216555</v>
      </c>
      <c r="N20" s="109">
        <f>SUM(B20:M20)</f>
        <v>6601968</v>
      </c>
    </row>
    <row r="21" spans="1:14" s="104" customFormat="1">
      <c r="A21" s="113"/>
      <c r="B21" s="104">
        <f>SUM(B22:B32)/2</f>
        <v>1162</v>
      </c>
      <c r="N21" s="123"/>
    </row>
    <row r="22" spans="1:14">
      <c r="A22" s="129" t="s">
        <v>201</v>
      </c>
      <c r="B22" s="121">
        <f t="shared" ref="B22:N22" si="2">SUM(B23:B25)</f>
        <v>1238</v>
      </c>
      <c r="C22" s="121">
        <f t="shared" si="2"/>
        <v>0</v>
      </c>
      <c r="D22" s="121">
        <f t="shared" si="2"/>
        <v>0</v>
      </c>
      <c r="E22" s="121">
        <f t="shared" si="2"/>
        <v>0</v>
      </c>
      <c r="F22" s="121">
        <f t="shared" si="2"/>
        <v>0</v>
      </c>
      <c r="G22" s="121">
        <f t="shared" si="2"/>
        <v>0</v>
      </c>
      <c r="H22" s="121">
        <f t="shared" si="2"/>
        <v>0</v>
      </c>
      <c r="I22" s="121">
        <f t="shared" si="2"/>
        <v>0</v>
      </c>
      <c r="J22" s="121">
        <f t="shared" si="2"/>
        <v>0</v>
      </c>
      <c r="K22" s="121">
        <f t="shared" si="2"/>
        <v>0</v>
      </c>
      <c r="L22" s="121">
        <f t="shared" si="2"/>
        <v>0</v>
      </c>
      <c r="M22" s="121">
        <f t="shared" si="2"/>
        <v>0</v>
      </c>
      <c r="N22" s="120">
        <f t="shared" si="2"/>
        <v>1238</v>
      </c>
    </row>
    <row r="23" spans="1:14" ht="18.75" customHeight="1">
      <c r="A23" s="104" t="s">
        <v>176</v>
      </c>
      <c r="B23" s="122">
        <v>623</v>
      </c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09">
        <f>SUM(B23:M23)</f>
        <v>623</v>
      </c>
    </row>
    <row r="24" spans="1:14">
      <c r="A24" s="116" t="s">
        <v>175</v>
      </c>
      <c r="B24" s="122">
        <v>612</v>
      </c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09">
        <f>SUM(B24:M24)</f>
        <v>612</v>
      </c>
    </row>
    <row r="25" spans="1:14" s="149" customFormat="1">
      <c r="A25" s="116" t="s">
        <v>174</v>
      </c>
      <c r="B25" s="164">
        <v>3</v>
      </c>
      <c r="C25" s="164"/>
      <c r="D25" s="164"/>
      <c r="N25" s="165">
        <f>SUM(B25:M25)</f>
        <v>3</v>
      </c>
    </row>
    <row r="26" spans="1:14" s="104" customFormat="1">
      <c r="A26" s="116" t="s">
        <v>173</v>
      </c>
      <c r="B26" s="121">
        <f t="shared" ref="B26:N26" si="3">SUM(B27:B30)</f>
        <v>-76</v>
      </c>
      <c r="C26" s="121">
        <f t="shared" si="3"/>
        <v>0</v>
      </c>
      <c r="D26" s="121">
        <f t="shared" si="3"/>
        <v>0</v>
      </c>
      <c r="E26" s="121">
        <f t="shared" si="3"/>
        <v>0</v>
      </c>
      <c r="F26" s="121">
        <f t="shared" si="3"/>
        <v>0</v>
      </c>
      <c r="G26" s="121">
        <f t="shared" si="3"/>
        <v>0</v>
      </c>
      <c r="H26" s="121">
        <f t="shared" si="3"/>
        <v>0</v>
      </c>
      <c r="I26" s="121">
        <f t="shared" si="3"/>
        <v>0</v>
      </c>
      <c r="J26" s="121">
        <f t="shared" si="3"/>
        <v>0</v>
      </c>
      <c r="K26" s="121">
        <f t="shared" si="3"/>
        <v>0</v>
      </c>
      <c r="L26" s="121">
        <f t="shared" si="3"/>
        <v>0</v>
      </c>
      <c r="M26" s="121">
        <f t="shared" si="3"/>
        <v>0</v>
      </c>
      <c r="N26" s="120">
        <f t="shared" si="3"/>
        <v>-76</v>
      </c>
    </row>
    <row r="27" spans="1:14" s="117" customFormat="1">
      <c r="A27" s="104" t="s">
        <v>172</v>
      </c>
      <c r="B27" s="118">
        <v>-101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240">
        <f>SUM(B27:M29)</f>
        <v>-89</v>
      </c>
    </row>
    <row r="28" spans="1:14" s="117" customFormat="1">
      <c r="A28" s="119" t="s">
        <v>185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240"/>
    </row>
    <row r="29" spans="1:14">
      <c r="A29" s="119" t="s">
        <v>184</v>
      </c>
      <c r="B29" s="115">
        <v>12</v>
      </c>
      <c r="N29" s="240"/>
    </row>
    <row r="30" spans="1:14">
      <c r="A30" s="116" t="s">
        <v>171</v>
      </c>
      <c r="B30" s="115">
        <v>13</v>
      </c>
      <c r="E30" s="115"/>
      <c r="N30" s="109">
        <f>SUM(B30:M30)</f>
        <v>13</v>
      </c>
    </row>
    <row r="31" spans="1:14" s="113" customFormat="1">
      <c r="A31" s="116" t="s">
        <v>170</v>
      </c>
      <c r="C31" s="114"/>
      <c r="F31" s="114"/>
      <c r="G31" s="114"/>
      <c r="N31" s="109">
        <f>SUM(B31:M31)</f>
        <v>0</v>
      </c>
    </row>
    <row r="32" spans="1:14">
      <c r="A32" s="99" t="s">
        <v>206</v>
      </c>
      <c r="N32" s="109"/>
    </row>
    <row r="33" spans="1:14" s="102" customFormat="1">
      <c r="A33" s="87"/>
      <c r="B33" s="112">
        <f>B18-B21</f>
        <v>898413</v>
      </c>
      <c r="C33" s="112">
        <f t="shared" ref="C33:N33" si="4">C22+C26+C31+C32</f>
        <v>0</v>
      </c>
      <c r="D33" s="112">
        <f t="shared" si="4"/>
        <v>0</v>
      </c>
      <c r="E33" s="112">
        <f t="shared" si="4"/>
        <v>0</v>
      </c>
      <c r="F33" s="112">
        <f t="shared" si="4"/>
        <v>0</v>
      </c>
      <c r="G33" s="112">
        <f t="shared" si="4"/>
        <v>0</v>
      </c>
      <c r="H33" s="112">
        <f t="shared" si="4"/>
        <v>0</v>
      </c>
      <c r="I33" s="112">
        <f t="shared" si="4"/>
        <v>0</v>
      </c>
      <c r="J33" s="112">
        <f t="shared" si="4"/>
        <v>0</v>
      </c>
      <c r="K33" s="112">
        <f t="shared" si="4"/>
        <v>0</v>
      </c>
      <c r="L33" s="112">
        <f t="shared" si="4"/>
        <v>0</v>
      </c>
      <c r="M33" s="112">
        <f t="shared" si="4"/>
        <v>0</v>
      </c>
      <c r="N33" s="111">
        <f t="shared" si="4"/>
        <v>1162</v>
      </c>
    </row>
    <row r="34" spans="1:14">
      <c r="A34" s="102" t="s">
        <v>207</v>
      </c>
      <c r="N34" s="109"/>
    </row>
    <row r="35" spans="1:14" s="102" customFormat="1">
      <c r="A35" s="110"/>
      <c r="B35" s="102">
        <f>B16+B33</f>
        <v>898908</v>
      </c>
      <c r="C35" s="102">
        <f t="shared" ref="C35:N35" si="5">C16-C33</f>
        <v>0</v>
      </c>
      <c r="D35" s="102">
        <f t="shared" si="5"/>
        <v>0</v>
      </c>
      <c r="E35" s="102">
        <f t="shared" si="5"/>
        <v>0</v>
      </c>
      <c r="F35" s="102">
        <f t="shared" si="5"/>
        <v>0</v>
      </c>
      <c r="G35" s="102">
        <f t="shared" si="5"/>
        <v>0</v>
      </c>
      <c r="H35" s="102">
        <f t="shared" si="5"/>
        <v>0</v>
      </c>
      <c r="I35" s="102">
        <f t="shared" si="5"/>
        <v>0</v>
      </c>
      <c r="J35" s="102">
        <f t="shared" si="5"/>
        <v>0</v>
      </c>
      <c r="K35" s="102">
        <f t="shared" si="5"/>
        <v>0</v>
      </c>
      <c r="L35" s="102">
        <f t="shared" si="5"/>
        <v>0</v>
      </c>
      <c r="M35" s="102">
        <f t="shared" si="5"/>
        <v>0</v>
      </c>
      <c r="N35" s="108">
        <f t="shared" ca="1" si="5"/>
        <v>6602856</v>
      </c>
    </row>
    <row r="36" spans="1:14">
      <c r="N36" s="109"/>
    </row>
    <row r="37" spans="1:14" s="107" customFormat="1">
      <c r="A37" s="102"/>
      <c r="B37" s="102">
        <f t="shared" ref="B37:N37" si="6">B11+B35</f>
        <v>922573</v>
      </c>
      <c r="C37" s="102">
        <f t="shared" si="6"/>
        <v>922573</v>
      </c>
      <c r="D37" s="102">
        <f t="shared" si="6"/>
        <v>922573</v>
      </c>
      <c r="E37" s="102">
        <f t="shared" si="6"/>
        <v>922573</v>
      </c>
      <c r="F37" s="102">
        <f t="shared" si="6"/>
        <v>922573</v>
      </c>
      <c r="G37" s="102">
        <f t="shared" si="6"/>
        <v>922573</v>
      </c>
      <c r="H37" s="102">
        <f t="shared" si="6"/>
        <v>922573</v>
      </c>
      <c r="I37" s="102">
        <f t="shared" si="6"/>
        <v>922573</v>
      </c>
      <c r="J37" s="102">
        <f t="shared" si="6"/>
        <v>922573</v>
      </c>
      <c r="K37" s="102">
        <f t="shared" si="6"/>
        <v>922573</v>
      </c>
      <c r="L37" s="102">
        <f t="shared" si="6"/>
        <v>922573</v>
      </c>
      <c r="M37" s="102">
        <f t="shared" si="6"/>
        <v>922573</v>
      </c>
      <c r="N37" s="108">
        <f t="shared" ca="1" si="6"/>
        <v>6626521</v>
      </c>
    </row>
    <row r="39" spans="1:14" ht="17.25" customHeight="1"/>
  </sheetData>
  <mergeCells count="1">
    <mergeCell ref="N27:N29"/>
  </mergeCells>
  <conditionalFormatting sqref="B37:M37 B35:IV35">
    <cfRule type="cellIs" dxfId="13" priority="2" operator="lessThan">
      <formula>0</formula>
    </cfRule>
  </conditionalFormatting>
  <conditionalFormatting sqref="N37">
    <cfRule type="cellIs" dxfId="12" priority="1" operator="lessThan">
      <formula>0</formula>
    </cfRule>
  </conditionalFormatting>
  <hyperlinks>
    <hyperlink ref="G1" location="'List of reports'!A1" display="Trở về" xr:uid="{00000000-0004-0000-0900-000000000000}"/>
  </hyperlinks>
  <printOptions horizontalCentered="1"/>
  <pageMargins left="0" right="0" top="0.75" bottom="0.75" header="0.3" footer="0.3"/>
  <pageSetup paperSize="9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"/>
  <sheetViews>
    <sheetView showGridLines="0" zoomScale="90" zoomScaleNormal="90" workbookViewId="0">
      <pane xSplit="1" topLeftCell="B1" activePane="topRight" state="frozen"/>
      <selection pane="topRight" activeCell="F6" sqref="F6"/>
    </sheetView>
  </sheetViews>
  <sheetFormatPr defaultColWidth="11.44140625" defaultRowHeight="15.6"/>
  <cols>
    <col min="1" max="1" width="43.109375" style="87" customWidth="1"/>
    <col min="2" max="4" width="19.33203125" style="87" customWidth="1"/>
    <col min="5" max="5" width="2" style="113" customWidth="1"/>
    <col min="6" max="8" width="19.33203125" style="87" customWidth="1"/>
    <col min="9" max="16384" width="11.44140625" style="87"/>
  </cols>
  <sheetData>
    <row r="1" spans="1:8">
      <c r="H1" s="127" t="s">
        <v>131</v>
      </c>
    </row>
    <row r="2" spans="1:8">
      <c r="C2" s="84" t="s">
        <v>182</v>
      </c>
    </row>
    <row r="4" spans="1:8">
      <c r="C4" s="87" t="s">
        <v>241</v>
      </c>
    </row>
    <row r="5" spans="1:8">
      <c r="C5" s="87" t="s">
        <v>321</v>
      </c>
    </row>
    <row r="7" spans="1:8">
      <c r="C7" s="87" t="s">
        <v>245</v>
      </c>
      <c r="G7" s="87" t="s">
        <v>246</v>
      </c>
    </row>
    <row r="8" spans="1:8" s="85" customFormat="1">
      <c r="B8" s="241" t="s">
        <v>193</v>
      </c>
      <c r="C8" s="241"/>
      <c r="D8" s="241"/>
      <c r="E8" s="132"/>
      <c r="F8" s="241" t="s">
        <v>195</v>
      </c>
      <c r="G8" s="241"/>
      <c r="H8" s="241"/>
    </row>
    <row r="9" spans="1:8" s="89" customFormat="1">
      <c r="B9" s="89" t="s">
        <v>145</v>
      </c>
      <c r="C9" s="89" t="s">
        <v>146</v>
      </c>
      <c r="D9" s="89" t="s">
        <v>194</v>
      </c>
      <c r="E9" s="133"/>
      <c r="F9" s="89" t="s">
        <v>145</v>
      </c>
      <c r="G9" s="89" t="s">
        <v>146</v>
      </c>
      <c r="H9" s="89" t="s">
        <v>194</v>
      </c>
    </row>
    <row r="11" spans="1:8">
      <c r="A11" s="87" t="s">
        <v>180</v>
      </c>
      <c r="B11" s="87">
        <v>23665</v>
      </c>
      <c r="C11" s="87">
        <v>23665</v>
      </c>
      <c r="D11" s="87">
        <f>B11-C11</f>
        <v>0</v>
      </c>
      <c r="F11" s="87">
        <v>23665</v>
      </c>
      <c r="G11" s="87">
        <v>23665</v>
      </c>
      <c r="H11" s="87">
        <f>F11-G11</f>
        <v>0</v>
      </c>
    </row>
    <row r="13" spans="1:8">
      <c r="A13" s="104" t="s">
        <v>187</v>
      </c>
    </row>
    <row r="14" spans="1:8">
      <c r="A14" s="128" t="s">
        <v>188</v>
      </c>
      <c r="B14" s="124">
        <v>2050</v>
      </c>
      <c r="C14" s="124">
        <v>2798</v>
      </c>
      <c r="D14" s="124">
        <f t="shared" ref="D14:D15" si="0">B14-C14</f>
        <v>-748</v>
      </c>
      <c r="E14" s="134"/>
      <c r="F14" s="124">
        <v>2050</v>
      </c>
      <c r="G14" s="124">
        <v>2798</v>
      </c>
      <c r="H14" s="124">
        <f t="shared" ref="H14:H15" si="1">F14-G14</f>
        <v>-748</v>
      </c>
    </row>
    <row r="15" spans="1:8">
      <c r="A15" s="128" t="s">
        <v>189</v>
      </c>
      <c r="B15" s="124">
        <v>1555</v>
      </c>
      <c r="C15" s="124">
        <v>1943</v>
      </c>
      <c r="D15" s="124">
        <f t="shared" si="0"/>
        <v>-388</v>
      </c>
      <c r="E15" s="134"/>
      <c r="F15" s="124">
        <v>1555</v>
      </c>
      <c r="G15" s="124">
        <v>1943</v>
      </c>
      <c r="H15" s="124">
        <f t="shared" si="1"/>
        <v>-388</v>
      </c>
    </row>
    <row r="16" spans="1:8" s="102" customFormat="1">
      <c r="A16" s="99" t="s">
        <v>190</v>
      </c>
      <c r="B16" s="112">
        <f>B14-B15</f>
        <v>495</v>
      </c>
      <c r="C16" s="112">
        <f>C14-C15</f>
        <v>855</v>
      </c>
      <c r="D16" s="112">
        <f>D14-D15</f>
        <v>-360</v>
      </c>
      <c r="E16" s="135"/>
      <c r="F16" s="112">
        <f>F14-F15</f>
        <v>495</v>
      </c>
      <c r="G16" s="112">
        <f>G14-G15</f>
        <v>855</v>
      </c>
      <c r="H16" s="112">
        <f>H14-H15</f>
        <v>-360</v>
      </c>
    </row>
    <row r="17" spans="1:8" s="131" customFormat="1">
      <c r="A17" s="104" t="s">
        <v>191</v>
      </c>
      <c r="B17" s="130"/>
      <c r="C17" s="130"/>
      <c r="D17" s="130"/>
      <c r="E17" s="130"/>
      <c r="F17" s="130"/>
      <c r="G17" s="130"/>
      <c r="H17" s="130"/>
    </row>
    <row r="18" spans="1:8" s="131" customFormat="1">
      <c r="A18" s="129" t="s">
        <v>166</v>
      </c>
      <c r="B18" s="130">
        <f>SUM(B19:B20)</f>
        <v>899575</v>
      </c>
      <c r="C18" s="130">
        <f>SUM(C19:C20)</f>
        <v>899575</v>
      </c>
      <c r="D18" s="130">
        <f>SUM(D19:D20)</f>
        <v>0</v>
      </c>
      <c r="E18" s="130"/>
      <c r="F18" s="130">
        <f>SUM(F19:F20)</f>
        <v>899575</v>
      </c>
      <c r="G18" s="130">
        <f>SUM(G19:G20)</f>
        <v>899575</v>
      </c>
      <c r="H18" s="130">
        <f>SUM(H19:H20)</f>
        <v>0</v>
      </c>
    </row>
    <row r="19" spans="1:8" s="113" customFormat="1">
      <c r="A19" s="113" t="s">
        <v>179</v>
      </c>
    </row>
    <row r="20" spans="1:8" s="113" customFormat="1">
      <c r="A20" s="113" t="s">
        <v>178</v>
      </c>
      <c r="B20" s="113">
        <v>899575</v>
      </c>
      <c r="C20" s="113">
        <v>899575</v>
      </c>
      <c r="D20" s="113">
        <f>B20-C20</f>
        <v>0</v>
      </c>
      <c r="F20" s="113">
        <v>899575</v>
      </c>
      <c r="G20" s="113">
        <v>899575</v>
      </c>
      <c r="H20" s="113">
        <f>F20-G20</f>
        <v>0</v>
      </c>
    </row>
    <row r="21" spans="1:8" s="104" customFormat="1">
      <c r="A21" s="129" t="s">
        <v>205</v>
      </c>
      <c r="B21" s="104">
        <f>SUM(B22:B32)/2</f>
        <v>1162</v>
      </c>
      <c r="C21" s="104">
        <f>SUM(C22:C32)/2</f>
        <v>967</v>
      </c>
      <c r="D21" s="104">
        <f>SUM(D22:D32)/2</f>
        <v>195</v>
      </c>
      <c r="E21" s="136"/>
      <c r="F21" s="104">
        <f>SUM(F22:F32)/2</f>
        <v>1162</v>
      </c>
      <c r="G21" s="104">
        <f>SUM(G22:G32)/2</f>
        <v>967</v>
      </c>
      <c r="H21" s="104">
        <f>SUM(H22:H32)/2</f>
        <v>195</v>
      </c>
    </row>
    <row r="22" spans="1:8">
      <c r="A22" s="104" t="s">
        <v>176</v>
      </c>
      <c r="B22" s="121">
        <f>SUM(B23:B25)</f>
        <v>1238</v>
      </c>
      <c r="C22" s="121">
        <f>SUM(C23:C25)</f>
        <v>1043</v>
      </c>
      <c r="D22" s="121">
        <f>SUM(D23:D25)</f>
        <v>195</v>
      </c>
      <c r="E22" s="137"/>
      <c r="F22" s="121">
        <f>SUM(F23:F25)</f>
        <v>1238</v>
      </c>
      <c r="G22" s="121">
        <f>SUM(G23:G25)</f>
        <v>1043</v>
      </c>
      <c r="H22" s="121">
        <f>SUM(H23:H25)</f>
        <v>195</v>
      </c>
    </row>
    <row r="23" spans="1:8" ht="18.75" customHeight="1">
      <c r="A23" s="116" t="s">
        <v>175</v>
      </c>
      <c r="B23" s="122">
        <v>623</v>
      </c>
      <c r="C23" s="122">
        <v>698</v>
      </c>
      <c r="D23" s="122">
        <f t="shared" ref="D23:D25" si="2">B23-C23</f>
        <v>-75</v>
      </c>
      <c r="E23" s="138"/>
      <c r="F23" s="122">
        <v>623</v>
      </c>
      <c r="G23" s="122">
        <v>698</v>
      </c>
      <c r="H23" s="122">
        <f t="shared" ref="H23:H25" si="3">F23-G23</f>
        <v>-75</v>
      </c>
    </row>
    <row r="24" spans="1:8">
      <c r="A24" s="116" t="s">
        <v>174</v>
      </c>
      <c r="B24" s="122">
        <v>612</v>
      </c>
      <c r="C24" s="122">
        <v>345</v>
      </c>
      <c r="D24" s="122">
        <f t="shared" si="2"/>
        <v>267</v>
      </c>
      <c r="E24" s="138"/>
      <c r="F24" s="122">
        <v>612</v>
      </c>
      <c r="G24" s="122">
        <v>345</v>
      </c>
      <c r="H24" s="122">
        <f t="shared" si="3"/>
        <v>267</v>
      </c>
    </row>
    <row r="25" spans="1:8">
      <c r="A25" s="116" t="s">
        <v>173</v>
      </c>
      <c r="B25" s="115">
        <v>3</v>
      </c>
      <c r="C25" s="115"/>
      <c r="D25" s="115">
        <f t="shared" si="2"/>
        <v>3</v>
      </c>
      <c r="E25" s="114"/>
      <c r="F25" s="115">
        <v>3</v>
      </c>
      <c r="G25" s="115"/>
      <c r="H25" s="115">
        <f t="shared" si="3"/>
        <v>3</v>
      </c>
    </row>
    <row r="26" spans="1:8" s="104" customFormat="1">
      <c r="A26" s="104" t="s">
        <v>172</v>
      </c>
      <c r="B26" s="121">
        <f>SUM(B27:B30)</f>
        <v>-76</v>
      </c>
      <c r="C26" s="121">
        <f>SUM(C27:C30)</f>
        <v>-76</v>
      </c>
      <c r="D26" s="121">
        <f>SUM(D27:D30)</f>
        <v>0</v>
      </c>
      <c r="E26" s="137"/>
      <c r="F26" s="121">
        <f>SUM(F27:F30)</f>
        <v>-76</v>
      </c>
      <c r="G26" s="121">
        <f>SUM(G27:G30)</f>
        <v>-76</v>
      </c>
      <c r="H26" s="121">
        <f>SUM(H27:H30)</f>
        <v>0</v>
      </c>
    </row>
    <row r="27" spans="1:8" s="117" customFormat="1">
      <c r="A27" s="119" t="s">
        <v>185</v>
      </c>
      <c r="B27" s="118">
        <v>-101</v>
      </c>
      <c r="C27" s="118">
        <v>-101</v>
      </c>
      <c r="D27" s="118">
        <f t="shared" ref="D27:D30" si="4">B27-C27</f>
        <v>0</v>
      </c>
      <c r="E27" s="139"/>
      <c r="F27" s="118">
        <v>-101</v>
      </c>
      <c r="G27" s="118">
        <v>-101</v>
      </c>
      <c r="H27" s="118">
        <f t="shared" ref="H27:H30" si="5">F27-G27</f>
        <v>0</v>
      </c>
    </row>
    <row r="28" spans="1:8" s="117" customFormat="1">
      <c r="A28" s="119" t="s">
        <v>184</v>
      </c>
      <c r="B28" s="118"/>
      <c r="C28" s="118"/>
      <c r="D28" s="118">
        <f t="shared" si="4"/>
        <v>0</v>
      </c>
      <c r="E28" s="139"/>
      <c r="F28" s="118"/>
      <c r="G28" s="118"/>
      <c r="H28" s="118">
        <f t="shared" si="5"/>
        <v>0</v>
      </c>
    </row>
    <row r="29" spans="1:8">
      <c r="A29" s="116" t="s">
        <v>171</v>
      </c>
      <c r="B29" s="115">
        <v>12</v>
      </c>
      <c r="C29" s="115">
        <v>12</v>
      </c>
      <c r="D29" s="115">
        <f t="shared" si="4"/>
        <v>0</v>
      </c>
      <c r="E29" s="114"/>
      <c r="F29" s="115">
        <v>12</v>
      </c>
      <c r="G29" s="115">
        <v>12</v>
      </c>
      <c r="H29" s="115">
        <f t="shared" si="5"/>
        <v>0</v>
      </c>
    </row>
    <row r="30" spans="1:8">
      <c r="A30" s="116" t="s">
        <v>170</v>
      </c>
      <c r="B30" s="115">
        <v>13</v>
      </c>
      <c r="C30" s="115">
        <v>13</v>
      </c>
      <c r="D30" s="115">
        <f t="shared" si="4"/>
        <v>0</v>
      </c>
      <c r="E30" s="114"/>
      <c r="F30" s="115">
        <v>13</v>
      </c>
      <c r="G30" s="115">
        <v>13</v>
      </c>
      <c r="H30" s="115">
        <f t="shared" si="5"/>
        <v>0</v>
      </c>
    </row>
    <row r="31" spans="1:8" s="113" customFormat="1">
      <c r="A31" s="113" t="s">
        <v>169</v>
      </c>
    </row>
    <row r="32" spans="1:8">
      <c r="A32" s="87" t="s">
        <v>168</v>
      </c>
    </row>
    <row r="33" spans="1:8" s="102" customFormat="1">
      <c r="A33" s="99" t="s">
        <v>192</v>
      </c>
      <c r="B33" s="112">
        <f>B18-B21</f>
        <v>898413</v>
      </c>
      <c r="C33" s="112">
        <f>C18-C21</f>
        <v>898608</v>
      </c>
      <c r="D33" s="112">
        <f>D18-D21</f>
        <v>-195</v>
      </c>
      <c r="E33" s="135"/>
      <c r="F33" s="112">
        <f>F18-F21</f>
        <v>898413</v>
      </c>
      <c r="G33" s="112">
        <f>G18-G21</f>
        <v>898608</v>
      </c>
      <c r="H33" s="112">
        <f>H18-H21</f>
        <v>-195</v>
      </c>
    </row>
    <row r="35" spans="1:8" s="102" customFormat="1">
      <c r="A35" s="110" t="s">
        <v>167</v>
      </c>
      <c r="B35" s="102">
        <f>B16+B33</f>
        <v>898908</v>
      </c>
      <c r="C35" s="102">
        <f>C16+C33</f>
        <v>899463</v>
      </c>
      <c r="D35" s="102">
        <f>D16+D33</f>
        <v>-555</v>
      </c>
      <c r="E35" s="131"/>
      <c r="F35" s="102">
        <f>F16+F33</f>
        <v>898908</v>
      </c>
      <c r="G35" s="102">
        <f>G16+G33</f>
        <v>899463</v>
      </c>
      <c r="H35" s="102">
        <f>H16+H33</f>
        <v>-555</v>
      </c>
    </row>
    <row r="37" spans="1:8" s="107" customFormat="1">
      <c r="A37" s="102" t="s">
        <v>186</v>
      </c>
      <c r="B37" s="102">
        <f>B11+B35</f>
        <v>922573</v>
      </c>
      <c r="C37" s="102">
        <f>C11+C35</f>
        <v>923128</v>
      </c>
      <c r="D37" s="102">
        <f>D11+D35</f>
        <v>-555</v>
      </c>
      <c r="E37" s="131"/>
      <c r="F37" s="102">
        <f>F11+F35</f>
        <v>922573</v>
      </c>
      <c r="G37" s="102">
        <f>G11+G35</f>
        <v>923128</v>
      </c>
      <c r="H37" s="102">
        <f>H11+H35</f>
        <v>-555</v>
      </c>
    </row>
    <row r="39" spans="1:8" ht="17.25" customHeight="1"/>
  </sheetData>
  <mergeCells count="2">
    <mergeCell ref="B8:D8"/>
    <mergeCell ref="F8:H8"/>
  </mergeCells>
  <conditionalFormatting sqref="B37 B35 I35:IP35">
    <cfRule type="cellIs" dxfId="11" priority="7" operator="lessThan">
      <formula>0</formula>
    </cfRule>
  </conditionalFormatting>
  <conditionalFormatting sqref="C37 C35">
    <cfRule type="cellIs" dxfId="10" priority="5" operator="lessThan">
      <formula>0</formula>
    </cfRule>
  </conditionalFormatting>
  <conditionalFormatting sqref="D37:E37 D35:E35">
    <cfRule type="cellIs" dxfId="9" priority="4" operator="lessThan">
      <formula>0</formula>
    </cfRule>
  </conditionalFormatting>
  <conditionalFormatting sqref="F37 F35">
    <cfRule type="cellIs" dxfId="8" priority="3" operator="lessThan">
      <formula>0</formula>
    </cfRule>
  </conditionalFormatting>
  <conditionalFormatting sqref="G37 G35">
    <cfRule type="cellIs" dxfId="7" priority="2" operator="lessThan">
      <formula>0</formula>
    </cfRule>
  </conditionalFormatting>
  <conditionalFormatting sqref="H37 H35">
    <cfRule type="cellIs" dxfId="6" priority="1" operator="lessThan">
      <formula>0</formula>
    </cfRule>
  </conditionalFormatting>
  <hyperlinks>
    <hyperlink ref="H1" location="'List of reports'!A1" display="Trở về" xr:uid="{00000000-0004-0000-0A00-000000000000}"/>
  </hyperlinks>
  <printOptions horizontalCentered="1"/>
  <pageMargins left="0" right="0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"/>
  <sheetViews>
    <sheetView showGridLines="0" zoomScale="90" zoomScaleNormal="90" workbookViewId="0">
      <pane xSplit="1" topLeftCell="B1" activePane="topRight" state="frozen"/>
      <selection pane="topRight" activeCell="C5" sqref="C5:C6"/>
    </sheetView>
  </sheetViews>
  <sheetFormatPr defaultColWidth="11.44140625" defaultRowHeight="15.6"/>
  <cols>
    <col min="1" max="1" width="43.109375" style="87" customWidth="1"/>
    <col min="2" max="4" width="19.33203125" style="87" customWidth="1"/>
    <col min="5" max="5" width="2" style="113" customWidth="1"/>
    <col min="6" max="8" width="19.33203125" style="87" customWidth="1"/>
    <col min="9" max="16384" width="11.44140625" style="87"/>
  </cols>
  <sheetData>
    <row r="1" spans="1:8">
      <c r="H1" s="127" t="s">
        <v>131</v>
      </c>
    </row>
    <row r="4" spans="1:8">
      <c r="C4" s="183" t="s">
        <v>196</v>
      </c>
    </row>
    <row r="5" spans="1:8">
      <c r="C5" s="87" t="s">
        <v>241</v>
      </c>
    </row>
    <row r="6" spans="1:8">
      <c r="C6" s="87" t="s">
        <v>321</v>
      </c>
    </row>
    <row r="8" spans="1:8" s="85" customFormat="1">
      <c r="A8" s="84"/>
      <c r="B8" s="241" t="s">
        <v>193</v>
      </c>
      <c r="C8" s="241"/>
      <c r="D8" s="241"/>
      <c r="E8" s="132"/>
      <c r="F8" s="241" t="s">
        <v>195</v>
      </c>
      <c r="G8" s="241"/>
      <c r="H8" s="241"/>
    </row>
    <row r="9" spans="1:8" s="89" customFormat="1">
      <c r="B9" s="89" t="s">
        <v>145</v>
      </c>
      <c r="C9" s="89" t="s">
        <v>146</v>
      </c>
      <c r="D9" s="89" t="s">
        <v>194</v>
      </c>
      <c r="E9" s="133"/>
      <c r="F9" s="89" t="s">
        <v>145</v>
      </c>
      <c r="G9" s="89" t="s">
        <v>146</v>
      </c>
      <c r="H9" s="89" t="s">
        <v>194</v>
      </c>
    </row>
    <row r="11" spans="1:8">
      <c r="A11" s="104" t="s">
        <v>202</v>
      </c>
    </row>
    <row r="12" spans="1:8">
      <c r="A12" s="128" t="s">
        <v>197</v>
      </c>
      <c r="B12" s="124">
        <v>2050</v>
      </c>
      <c r="C12" s="124">
        <v>2798</v>
      </c>
      <c r="D12" s="124">
        <f t="shared" ref="D12:D13" si="0">B12-C12</f>
        <v>-748</v>
      </c>
      <c r="E12" s="134"/>
      <c r="F12" s="124">
        <v>2050</v>
      </c>
      <c r="G12" s="124">
        <v>2798</v>
      </c>
      <c r="H12" s="124">
        <f t="shared" ref="H12:H13" si="1">F12-G12</f>
        <v>-748</v>
      </c>
    </row>
    <row r="13" spans="1:8">
      <c r="A13" s="128" t="s">
        <v>198</v>
      </c>
      <c r="B13" s="124">
        <v>1555</v>
      </c>
      <c r="C13" s="124">
        <v>1943</v>
      </c>
      <c r="D13" s="124">
        <f t="shared" si="0"/>
        <v>-388</v>
      </c>
      <c r="E13" s="134"/>
      <c r="F13" s="124">
        <v>1555</v>
      </c>
      <c r="G13" s="124">
        <v>1943</v>
      </c>
      <c r="H13" s="124">
        <f t="shared" si="1"/>
        <v>-388</v>
      </c>
    </row>
    <row r="14" spans="1:8" s="102" customFormat="1">
      <c r="A14" s="112" t="s">
        <v>203</v>
      </c>
      <c r="B14" s="112">
        <f>B12-B13</f>
        <v>495</v>
      </c>
      <c r="C14" s="112">
        <f>C12-C13</f>
        <v>855</v>
      </c>
      <c r="D14" s="112">
        <f>D12-D13</f>
        <v>-360</v>
      </c>
      <c r="E14" s="135"/>
      <c r="F14" s="112">
        <f>F12-F13</f>
        <v>495</v>
      </c>
      <c r="G14" s="112">
        <f>G12-G13</f>
        <v>855</v>
      </c>
      <c r="H14" s="112">
        <f>H12-H13</f>
        <v>-360</v>
      </c>
    </row>
    <row r="15" spans="1:8" s="131" customFormat="1">
      <c r="A15" s="104"/>
      <c r="B15" s="130"/>
      <c r="C15" s="130"/>
      <c r="D15" s="130"/>
      <c r="E15" s="130"/>
      <c r="F15" s="130"/>
      <c r="G15" s="130"/>
      <c r="H15" s="130"/>
    </row>
    <row r="16" spans="1:8" s="131" customFormat="1">
      <c r="A16" s="129" t="s">
        <v>204</v>
      </c>
      <c r="B16" s="130">
        <f>SUM(B17:B18)</f>
        <v>899575</v>
      </c>
      <c r="C16" s="130">
        <f>SUM(C17:C18)</f>
        <v>899575</v>
      </c>
      <c r="D16" s="130">
        <f>SUM(D17:D18)</f>
        <v>0</v>
      </c>
      <c r="E16" s="130"/>
      <c r="F16" s="130">
        <f>SUM(F17:F18)</f>
        <v>899575</v>
      </c>
      <c r="G16" s="130">
        <f>SUM(G17:G18)</f>
        <v>899575</v>
      </c>
      <c r="H16" s="130">
        <f>SUM(H17:H18)</f>
        <v>0</v>
      </c>
    </row>
    <row r="17" spans="1:8" s="113" customFormat="1">
      <c r="A17" s="113" t="s">
        <v>200</v>
      </c>
    </row>
    <row r="18" spans="1:8" s="113" customFormat="1">
      <c r="A18" s="113" t="s">
        <v>199</v>
      </c>
      <c r="B18" s="113">
        <v>899575</v>
      </c>
      <c r="C18" s="113">
        <v>899575</v>
      </c>
      <c r="D18" s="113">
        <f>B18-C18</f>
        <v>0</v>
      </c>
      <c r="F18" s="113">
        <v>899575</v>
      </c>
      <c r="G18" s="113">
        <v>899575</v>
      </c>
      <c r="H18" s="113">
        <f>F18-G18</f>
        <v>0</v>
      </c>
    </row>
    <row r="19" spans="1:8" s="113" customFormat="1"/>
    <row r="20" spans="1:8" s="104" customFormat="1">
      <c r="A20" s="129" t="s">
        <v>201</v>
      </c>
      <c r="B20" s="104">
        <f>SUM(B21:B29)/2</f>
        <v>1162</v>
      </c>
      <c r="C20" s="104">
        <f>SUM(C21:C29)/2</f>
        <v>967</v>
      </c>
      <c r="D20" s="104">
        <f>SUM(D21:D29)/2</f>
        <v>195</v>
      </c>
      <c r="E20" s="136"/>
      <c r="F20" s="104">
        <f>SUM(F21:F29)/2</f>
        <v>1162</v>
      </c>
      <c r="G20" s="104">
        <f>SUM(G21:G29)/2</f>
        <v>967</v>
      </c>
      <c r="H20" s="104">
        <f>SUM(H21:H29)/2</f>
        <v>195</v>
      </c>
    </row>
    <row r="21" spans="1:8">
      <c r="A21" s="104" t="s">
        <v>176</v>
      </c>
      <c r="B21" s="121">
        <f>SUM(B22:B24)</f>
        <v>1238</v>
      </c>
      <c r="C21" s="121">
        <f>SUM(C22:C24)</f>
        <v>1043</v>
      </c>
      <c r="D21" s="121">
        <f>SUM(D22:D24)</f>
        <v>195</v>
      </c>
      <c r="E21" s="137"/>
      <c r="F21" s="121">
        <f>SUM(F22:F24)</f>
        <v>1238</v>
      </c>
      <c r="G21" s="121">
        <f>SUM(G22:G24)</f>
        <v>1043</v>
      </c>
      <c r="H21" s="121">
        <f>SUM(H22:H24)</f>
        <v>195</v>
      </c>
    </row>
    <row r="22" spans="1:8" ht="18.75" customHeight="1">
      <c r="A22" s="116" t="s">
        <v>175</v>
      </c>
      <c r="B22" s="122">
        <v>623</v>
      </c>
      <c r="C22" s="122">
        <v>698</v>
      </c>
      <c r="D22" s="122">
        <f t="shared" ref="D22:D24" si="2">B22-C22</f>
        <v>-75</v>
      </c>
      <c r="E22" s="138"/>
      <c r="F22" s="122">
        <v>623</v>
      </c>
      <c r="G22" s="122">
        <v>698</v>
      </c>
      <c r="H22" s="122">
        <f t="shared" ref="H22:H24" si="3">F22-G22</f>
        <v>-75</v>
      </c>
    </row>
    <row r="23" spans="1:8">
      <c r="A23" s="116" t="s">
        <v>174</v>
      </c>
      <c r="B23" s="122">
        <v>612</v>
      </c>
      <c r="C23" s="122">
        <v>345</v>
      </c>
      <c r="D23" s="122">
        <f t="shared" si="2"/>
        <v>267</v>
      </c>
      <c r="E23" s="138"/>
      <c r="F23" s="122">
        <v>612</v>
      </c>
      <c r="G23" s="122">
        <v>345</v>
      </c>
      <c r="H23" s="122">
        <f t="shared" si="3"/>
        <v>267</v>
      </c>
    </row>
    <row r="24" spans="1:8">
      <c r="A24" s="116" t="s">
        <v>173</v>
      </c>
      <c r="B24" s="115">
        <v>3</v>
      </c>
      <c r="C24" s="115"/>
      <c r="D24" s="115">
        <f t="shared" si="2"/>
        <v>3</v>
      </c>
      <c r="E24" s="114"/>
      <c r="F24" s="115">
        <v>3</v>
      </c>
      <c r="G24" s="115"/>
      <c r="H24" s="115">
        <f t="shared" si="3"/>
        <v>3</v>
      </c>
    </row>
    <row r="25" spans="1:8" s="104" customFormat="1">
      <c r="A25" s="104" t="s">
        <v>172</v>
      </c>
      <c r="B25" s="121">
        <f>SUM(B26:B29)</f>
        <v>-76</v>
      </c>
      <c r="C25" s="121">
        <f>SUM(C26:C29)</f>
        <v>-76</v>
      </c>
      <c r="D25" s="121">
        <f>SUM(D26:D29)</f>
        <v>0</v>
      </c>
      <c r="E25" s="137"/>
      <c r="F25" s="121">
        <f>SUM(F26:F29)</f>
        <v>-76</v>
      </c>
      <c r="G25" s="121">
        <f>SUM(G26:G29)</f>
        <v>-76</v>
      </c>
      <c r="H25" s="121">
        <f>SUM(H26:H29)</f>
        <v>0</v>
      </c>
    </row>
    <row r="26" spans="1:8" s="117" customFormat="1">
      <c r="A26" s="119" t="s">
        <v>185</v>
      </c>
      <c r="B26" s="118">
        <v>-101</v>
      </c>
      <c r="C26" s="118">
        <v>-101</v>
      </c>
      <c r="D26" s="118">
        <f t="shared" ref="D26:D29" si="4">B26-C26</f>
        <v>0</v>
      </c>
      <c r="E26" s="139"/>
      <c r="F26" s="118">
        <v>-101</v>
      </c>
      <c r="G26" s="118">
        <v>-101</v>
      </c>
      <c r="H26" s="118">
        <f t="shared" ref="H26:H29" si="5">F26-G26</f>
        <v>0</v>
      </c>
    </row>
    <row r="27" spans="1:8" s="117" customFormat="1">
      <c r="A27" s="119" t="s">
        <v>184</v>
      </c>
      <c r="B27" s="118"/>
      <c r="C27" s="118"/>
      <c r="D27" s="118">
        <f t="shared" si="4"/>
        <v>0</v>
      </c>
      <c r="E27" s="139"/>
      <c r="F27" s="118"/>
      <c r="G27" s="118"/>
      <c r="H27" s="118">
        <f t="shared" si="5"/>
        <v>0</v>
      </c>
    </row>
    <row r="28" spans="1:8">
      <c r="A28" s="116" t="s">
        <v>171</v>
      </c>
      <c r="B28" s="115">
        <v>12</v>
      </c>
      <c r="C28" s="115">
        <v>12</v>
      </c>
      <c r="D28" s="115">
        <f t="shared" si="4"/>
        <v>0</v>
      </c>
      <c r="E28" s="114"/>
      <c r="F28" s="115">
        <v>12</v>
      </c>
      <c r="G28" s="115">
        <v>12</v>
      </c>
      <c r="H28" s="115">
        <f t="shared" si="5"/>
        <v>0</v>
      </c>
    </row>
    <row r="29" spans="1:8">
      <c r="A29" s="116" t="s">
        <v>170</v>
      </c>
      <c r="B29" s="115">
        <v>13</v>
      </c>
      <c r="C29" s="115">
        <v>13</v>
      </c>
      <c r="D29" s="115">
        <f t="shared" si="4"/>
        <v>0</v>
      </c>
      <c r="E29" s="114"/>
      <c r="F29" s="115">
        <v>13</v>
      </c>
      <c r="G29" s="115">
        <v>13</v>
      </c>
      <c r="H29" s="115">
        <f t="shared" si="5"/>
        <v>0</v>
      </c>
    </row>
    <row r="30" spans="1:8" s="102" customFormat="1">
      <c r="A30" s="99" t="s">
        <v>206</v>
      </c>
      <c r="B30" s="112">
        <f>B16-B20</f>
        <v>898413</v>
      </c>
      <c r="C30" s="112">
        <f>C16-C20</f>
        <v>898608</v>
      </c>
      <c r="D30" s="112">
        <f>D16-D20</f>
        <v>-195</v>
      </c>
      <c r="E30" s="135"/>
      <c r="F30" s="112">
        <f>F16-F20</f>
        <v>898413</v>
      </c>
      <c r="G30" s="112">
        <f>G16-G20</f>
        <v>898608</v>
      </c>
      <c r="H30" s="112">
        <f>H16-H20</f>
        <v>-195</v>
      </c>
    </row>
    <row r="32" spans="1:8" s="102" customFormat="1">
      <c r="A32" s="102" t="s">
        <v>207</v>
      </c>
      <c r="B32" s="102">
        <f>B14+B30</f>
        <v>898908</v>
      </c>
      <c r="C32" s="102">
        <f>C14+C30</f>
        <v>899463</v>
      </c>
      <c r="D32" s="102">
        <f>D14+D30</f>
        <v>-555</v>
      </c>
      <c r="E32" s="131"/>
      <c r="F32" s="102">
        <f>F14+F30</f>
        <v>898908</v>
      </c>
      <c r="G32" s="102">
        <f>G14+G30</f>
        <v>899463</v>
      </c>
      <c r="H32" s="102">
        <f>H14+H30</f>
        <v>-555</v>
      </c>
    </row>
    <row r="34" ht="17.25" customHeight="1"/>
  </sheetData>
  <mergeCells count="2">
    <mergeCell ref="B8:D8"/>
    <mergeCell ref="F8:H8"/>
  </mergeCells>
  <conditionalFormatting sqref="B32 I32:IP32">
    <cfRule type="cellIs" dxfId="5" priority="6" operator="lessThan">
      <formula>0</formula>
    </cfRule>
  </conditionalFormatting>
  <conditionalFormatting sqref="C32">
    <cfRule type="cellIs" dxfId="4" priority="5" operator="lessThan">
      <formula>0</formula>
    </cfRule>
  </conditionalFormatting>
  <conditionalFormatting sqref="D32:E32">
    <cfRule type="cellIs" dxfId="3" priority="4" operator="lessThan">
      <formula>0</formula>
    </cfRule>
  </conditionalFormatting>
  <conditionalFormatting sqref="F32">
    <cfRule type="cellIs" dxfId="2" priority="3" operator="lessThan">
      <formula>0</formula>
    </cfRule>
  </conditionalFormatting>
  <conditionalFormatting sqref="G32">
    <cfRule type="cellIs" dxfId="1" priority="2" operator="lessThan">
      <formula>0</formula>
    </cfRule>
  </conditionalFormatting>
  <conditionalFormatting sqref="H32">
    <cfRule type="cellIs" dxfId="0" priority="1" operator="lessThan">
      <formula>0</formula>
    </cfRule>
  </conditionalFormatting>
  <hyperlinks>
    <hyperlink ref="H1" location="'List of reports'!A1" display="Trở về" xr:uid="{00000000-0004-0000-0B00-000000000000}"/>
  </hyperlinks>
  <printOptions horizontalCentered="1"/>
  <pageMargins left="0" right="0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4"/>
  <sheetViews>
    <sheetView topLeftCell="A3" zoomScale="85" zoomScaleNormal="85" workbookViewId="0">
      <selection activeCell="K11" sqref="K11"/>
    </sheetView>
  </sheetViews>
  <sheetFormatPr defaultColWidth="8.88671875" defaultRowHeight="13.8"/>
  <cols>
    <col min="1" max="1" width="16" style="16" customWidth="1"/>
    <col min="2" max="3" width="12.44140625" style="17" customWidth="1"/>
    <col min="4" max="4" width="14.6640625" style="17" customWidth="1"/>
    <col min="5" max="6" width="17.109375" style="17" customWidth="1"/>
    <col min="7" max="7" width="16.109375" style="21" customWidth="1"/>
    <col min="8" max="8" width="14.44140625" style="18" customWidth="1"/>
    <col min="9" max="9" width="16.44140625" style="18" bestFit="1" customWidth="1"/>
    <col min="10" max="10" width="16.44140625" style="18" customWidth="1"/>
    <col min="11" max="11" width="61.44140625" style="20" bestFit="1" customWidth="1"/>
    <col min="12" max="253" width="8.88671875" style="20"/>
    <col min="254" max="254" width="16" style="20" customWidth="1"/>
    <col min="255" max="255" width="12.44140625" style="20" customWidth="1"/>
    <col min="256" max="256" width="17.109375" style="20" customWidth="1"/>
    <col min="257" max="257" width="14.6640625" style="20" customWidth="1"/>
    <col min="258" max="258" width="22.88671875" style="20" customWidth="1"/>
    <col min="259" max="260" width="14.44140625" style="20" customWidth="1"/>
    <col min="261" max="262" width="16.44140625" style="20" bestFit="1" customWidth="1"/>
    <col min="263" max="264" width="16.44140625" style="20" customWidth="1"/>
    <col min="265" max="265" width="29.109375" style="20" customWidth="1"/>
    <col min="266" max="266" width="33" style="20" customWidth="1"/>
    <col min="267" max="267" width="61.44140625" style="20" bestFit="1" customWidth="1"/>
    <col min="268" max="509" width="8.88671875" style="20"/>
    <col min="510" max="510" width="16" style="20" customWidth="1"/>
    <col min="511" max="511" width="12.44140625" style="20" customWidth="1"/>
    <col min="512" max="512" width="17.109375" style="20" customWidth="1"/>
    <col min="513" max="513" width="14.6640625" style="20" customWidth="1"/>
    <col min="514" max="514" width="22.88671875" style="20" customWidth="1"/>
    <col min="515" max="516" width="14.44140625" style="20" customWidth="1"/>
    <col min="517" max="518" width="16.44140625" style="20" bestFit="1" customWidth="1"/>
    <col min="519" max="520" width="16.44140625" style="20" customWidth="1"/>
    <col min="521" max="521" width="29.109375" style="20" customWidth="1"/>
    <col min="522" max="522" width="33" style="20" customWidth="1"/>
    <col min="523" max="523" width="61.44140625" style="20" bestFit="1" customWidth="1"/>
    <col min="524" max="765" width="8.88671875" style="20"/>
    <col min="766" max="766" width="16" style="20" customWidth="1"/>
    <col min="767" max="767" width="12.44140625" style="20" customWidth="1"/>
    <col min="768" max="768" width="17.109375" style="20" customWidth="1"/>
    <col min="769" max="769" width="14.6640625" style="20" customWidth="1"/>
    <col min="770" max="770" width="22.88671875" style="20" customWidth="1"/>
    <col min="771" max="772" width="14.44140625" style="20" customWidth="1"/>
    <col min="773" max="774" width="16.44140625" style="20" bestFit="1" customWidth="1"/>
    <col min="775" max="776" width="16.44140625" style="20" customWidth="1"/>
    <col min="777" max="777" width="29.109375" style="20" customWidth="1"/>
    <col min="778" max="778" width="33" style="20" customWidth="1"/>
    <col min="779" max="779" width="61.44140625" style="20" bestFit="1" customWidth="1"/>
    <col min="780" max="1021" width="8.88671875" style="20"/>
    <col min="1022" max="1022" width="16" style="20" customWidth="1"/>
    <col min="1023" max="1023" width="12.44140625" style="20" customWidth="1"/>
    <col min="1024" max="1024" width="17.109375" style="20" customWidth="1"/>
    <col min="1025" max="1025" width="14.6640625" style="20" customWidth="1"/>
    <col min="1026" max="1026" width="22.88671875" style="20" customWidth="1"/>
    <col min="1027" max="1028" width="14.44140625" style="20" customWidth="1"/>
    <col min="1029" max="1030" width="16.44140625" style="20" bestFit="1" customWidth="1"/>
    <col min="1031" max="1032" width="16.44140625" style="20" customWidth="1"/>
    <col min="1033" max="1033" width="29.109375" style="20" customWidth="1"/>
    <col min="1034" max="1034" width="33" style="20" customWidth="1"/>
    <col min="1035" max="1035" width="61.44140625" style="20" bestFit="1" customWidth="1"/>
    <col min="1036" max="1277" width="8.88671875" style="20"/>
    <col min="1278" max="1278" width="16" style="20" customWidth="1"/>
    <col min="1279" max="1279" width="12.44140625" style="20" customWidth="1"/>
    <col min="1280" max="1280" width="17.109375" style="20" customWidth="1"/>
    <col min="1281" max="1281" width="14.6640625" style="20" customWidth="1"/>
    <col min="1282" max="1282" width="22.88671875" style="20" customWidth="1"/>
    <col min="1283" max="1284" width="14.44140625" style="20" customWidth="1"/>
    <col min="1285" max="1286" width="16.44140625" style="20" bestFit="1" customWidth="1"/>
    <col min="1287" max="1288" width="16.44140625" style="20" customWidth="1"/>
    <col min="1289" max="1289" width="29.109375" style="20" customWidth="1"/>
    <col min="1290" max="1290" width="33" style="20" customWidth="1"/>
    <col min="1291" max="1291" width="61.44140625" style="20" bestFit="1" customWidth="1"/>
    <col min="1292" max="1533" width="8.88671875" style="20"/>
    <col min="1534" max="1534" width="16" style="20" customWidth="1"/>
    <col min="1535" max="1535" width="12.44140625" style="20" customWidth="1"/>
    <col min="1536" max="1536" width="17.109375" style="20" customWidth="1"/>
    <col min="1537" max="1537" width="14.6640625" style="20" customWidth="1"/>
    <col min="1538" max="1538" width="22.88671875" style="20" customWidth="1"/>
    <col min="1539" max="1540" width="14.44140625" style="20" customWidth="1"/>
    <col min="1541" max="1542" width="16.44140625" style="20" bestFit="1" customWidth="1"/>
    <col min="1543" max="1544" width="16.44140625" style="20" customWidth="1"/>
    <col min="1545" max="1545" width="29.109375" style="20" customWidth="1"/>
    <col min="1546" max="1546" width="33" style="20" customWidth="1"/>
    <col min="1547" max="1547" width="61.44140625" style="20" bestFit="1" customWidth="1"/>
    <col min="1548" max="1789" width="8.88671875" style="20"/>
    <col min="1790" max="1790" width="16" style="20" customWidth="1"/>
    <col min="1791" max="1791" width="12.44140625" style="20" customWidth="1"/>
    <col min="1792" max="1792" width="17.109375" style="20" customWidth="1"/>
    <col min="1793" max="1793" width="14.6640625" style="20" customWidth="1"/>
    <col min="1794" max="1794" width="22.88671875" style="20" customWidth="1"/>
    <col min="1795" max="1796" width="14.44140625" style="20" customWidth="1"/>
    <col min="1797" max="1798" width="16.44140625" style="20" bestFit="1" customWidth="1"/>
    <col min="1799" max="1800" width="16.44140625" style="20" customWidth="1"/>
    <col min="1801" max="1801" width="29.109375" style="20" customWidth="1"/>
    <col min="1802" max="1802" width="33" style="20" customWidth="1"/>
    <col min="1803" max="1803" width="61.44140625" style="20" bestFit="1" customWidth="1"/>
    <col min="1804" max="2045" width="8.88671875" style="20"/>
    <col min="2046" max="2046" width="16" style="20" customWidth="1"/>
    <col min="2047" max="2047" width="12.44140625" style="20" customWidth="1"/>
    <col min="2048" max="2048" width="17.109375" style="20" customWidth="1"/>
    <col min="2049" max="2049" width="14.6640625" style="20" customWidth="1"/>
    <col min="2050" max="2050" width="22.88671875" style="20" customWidth="1"/>
    <col min="2051" max="2052" width="14.44140625" style="20" customWidth="1"/>
    <col min="2053" max="2054" width="16.44140625" style="20" bestFit="1" customWidth="1"/>
    <col min="2055" max="2056" width="16.44140625" style="20" customWidth="1"/>
    <col min="2057" max="2057" width="29.109375" style="20" customWidth="1"/>
    <col min="2058" max="2058" width="33" style="20" customWidth="1"/>
    <col min="2059" max="2059" width="61.44140625" style="20" bestFit="1" customWidth="1"/>
    <col min="2060" max="2301" width="8.88671875" style="20"/>
    <col min="2302" max="2302" width="16" style="20" customWidth="1"/>
    <col min="2303" max="2303" width="12.44140625" style="20" customWidth="1"/>
    <col min="2304" max="2304" width="17.109375" style="20" customWidth="1"/>
    <col min="2305" max="2305" width="14.6640625" style="20" customWidth="1"/>
    <col min="2306" max="2306" width="22.88671875" style="20" customWidth="1"/>
    <col min="2307" max="2308" width="14.44140625" style="20" customWidth="1"/>
    <col min="2309" max="2310" width="16.44140625" style="20" bestFit="1" customWidth="1"/>
    <col min="2311" max="2312" width="16.44140625" style="20" customWidth="1"/>
    <col min="2313" max="2313" width="29.109375" style="20" customWidth="1"/>
    <col min="2314" max="2314" width="33" style="20" customWidth="1"/>
    <col min="2315" max="2315" width="61.44140625" style="20" bestFit="1" customWidth="1"/>
    <col min="2316" max="2557" width="8.88671875" style="20"/>
    <col min="2558" max="2558" width="16" style="20" customWidth="1"/>
    <col min="2559" max="2559" width="12.44140625" style="20" customWidth="1"/>
    <col min="2560" max="2560" width="17.109375" style="20" customWidth="1"/>
    <col min="2561" max="2561" width="14.6640625" style="20" customWidth="1"/>
    <col min="2562" max="2562" width="22.88671875" style="20" customWidth="1"/>
    <col min="2563" max="2564" width="14.44140625" style="20" customWidth="1"/>
    <col min="2565" max="2566" width="16.44140625" style="20" bestFit="1" customWidth="1"/>
    <col min="2567" max="2568" width="16.44140625" style="20" customWidth="1"/>
    <col min="2569" max="2569" width="29.109375" style="20" customWidth="1"/>
    <col min="2570" max="2570" width="33" style="20" customWidth="1"/>
    <col min="2571" max="2571" width="61.44140625" style="20" bestFit="1" customWidth="1"/>
    <col min="2572" max="2813" width="8.88671875" style="20"/>
    <col min="2814" max="2814" width="16" style="20" customWidth="1"/>
    <col min="2815" max="2815" width="12.44140625" style="20" customWidth="1"/>
    <col min="2816" max="2816" width="17.109375" style="20" customWidth="1"/>
    <col min="2817" max="2817" width="14.6640625" style="20" customWidth="1"/>
    <col min="2818" max="2818" width="22.88671875" style="20" customWidth="1"/>
    <col min="2819" max="2820" width="14.44140625" style="20" customWidth="1"/>
    <col min="2821" max="2822" width="16.44140625" style="20" bestFit="1" customWidth="1"/>
    <col min="2823" max="2824" width="16.44140625" style="20" customWidth="1"/>
    <col min="2825" max="2825" width="29.109375" style="20" customWidth="1"/>
    <col min="2826" max="2826" width="33" style="20" customWidth="1"/>
    <col min="2827" max="2827" width="61.44140625" style="20" bestFit="1" customWidth="1"/>
    <col min="2828" max="3069" width="8.88671875" style="20"/>
    <col min="3070" max="3070" width="16" style="20" customWidth="1"/>
    <col min="3071" max="3071" width="12.44140625" style="20" customWidth="1"/>
    <col min="3072" max="3072" width="17.109375" style="20" customWidth="1"/>
    <col min="3073" max="3073" width="14.6640625" style="20" customWidth="1"/>
    <col min="3074" max="3074" width="22.88671875" style="20" customWidth="1"/>
    <col min="3075" max="3076" width="14.44140625" style="20" customWidth="1"/>
    <col min="3077" max="3078" width="16.44140625" style="20" bestFit="1" customWidth="1"/>
    <col min="3079" max="3080" width="16.44140625" style="20" customWidth="1"/>
    <col min="3081" max="3081" width="29.109375" style="20" customWidth="1"/>
    <col min="3082" max="3082" width="33" style="20" customWidth="1"/>
    <col min="3083" max="3083" width="61.44140625" style="20" bestFit="1" customWidth="1"/>
    <col min="3084" max="3325" width="8.88671875" style="20"/>
    <col min="3326" max="3326" width="16" style="20" customWidth="1"/>
    <col min="3327" max="3327" width="12.44140625" style="20" customWidth="1"/>
    <col min="3328" max="3328" width="17.109375" style="20" customWidth="1"/>
    <col min="3329" max="3329" width="14.6640625" style="20" customWidth="1"/>
    <col min="3330" max="3330" width="22.88671875" style="20" customWidth="1"/>
    <col min="3331" max="3332" width="14.44140625" style="20" customWidth="1"/>
    <col min="3333" max="3334" width="16.44140625" style="20" bestFit="1" customWidth="1"/>
    <col min="3335" max="3336" width="16.44140625" style="20" customWidth="1"/>
    <col min="3337" max="3337" width="29.109375" style="20" customWidth="1"/>
    <col min="3338" max="3338" width="33" style="20" customWidth="1"/>
    <col min="3339" max="3339" width="61.44140625" style="20" bestFit="1" customWidth="1"/>
    <col min="3340" max="3581" width="8.88671875" style="20"/>
    <col min="3582" max="3582" width="16" style="20" customWidth="1"/>
    <col min="3583" max="3583" width="12.44140625" style="20" customWidth="1"/>
    <col min="3584" max="3584" width="17.109375" style="20" customWidth="1"/>
    <col min="3585" max="3585" width="14.6640625" style="20" customWidth="1"/>
    <col min="3586" max="3586" width="22.88671875" style="20" customWidth="1"/>
    <col min="3587" max="3588" width="14.44140625" style="20" customWidth="1"/>
    <col min="3589" max="3590" width="16.44140625" style="20" bestFit="1" customWidth="1"/>
    <col min="3591" max="3592" width="16.44140625" style="20" customWidth="1"/>
    <col min="3593" max="3593" width="29.109375" style="20" customWidth="1"/>
    <col min="3594" max="3594" width="33" style="20" customWidth="1"/>
    <col min="3595" max="3595" width="61.44140625" style="20" bestFit="1" customWidth="1"/>
    <col min="3596" max="3837" width="8.88671875" style="20"/>
    <col min="3838" max="3838" width="16" style="20" customWidth="1"/>
    <col min="3839" max="3839" width="12.44140625" style="20" customWidth="1"/>
    <col min="3840" max="3840" width="17.109375" style="20" customWidth="1"/>
    <col min="3841" max="3841" width="14.6640625" style="20" customWidth="1"/>
    <col min="3842" max="3842" width="22.88671875" style="20" customWidth="1"/>
    <col min="3843" max="3844" width="14.44140625" style="20" customWidth="1"/>
    <col min="3845" max="3846" width="16.44140625" style="20" bestFit="1" customWidth="1"/>
    <col min="3847" max="3848" width="16.44140625" style="20" customWidth="1"/>
    <col min="3849" max="3849" width="29.109375" style="20" customWidth="1"/>
    <col min="3850" max="3850" width="33" style="20" customWidth="1"/>
    <col min="3851" max="3851" width="61.44140625" style="20" bestFit="1" customWidth="1"/>
    <col min="3852" max="4093" width="8.88671875" style="20"/>
    <col min="4094" max="4094" width="16" style="20" customWidth="1"/>
    <col min="4095" max="4095" width="12.44140625" style="20" customWidth="1"/>
    <col min="4096" max="4096" width="17.109375" style="20" customWidth="1"/>
    <col min="4097" max="4097" width="14.6640625" style="20" customWidth="1"/>
    <col min="4098" max="4098" width="22.88671875" style="20" customWidth="1"/>
    <col min="4099" max="4100" width="14.44140625" style="20" customWidth="1"/>
    <col min="4101" max="4102" width="16.44140625" style="20" bestFit="1" customWidth="1"/>
    <col min="4103" max="4104" width="16.44140625" style="20" customWidth="1"/>
    <col min="4105" max="4105" width="29.109375" style="20" customWidth="1"/>
    <col min="4106" max="4106" width="33" style="20" customWidth="1"/>
    <col min="4107" max="4107" width="61.44140625" style="20" bestFit="1" customWidth="1"/>
    <col min="4108" max="4349" width="8.88671875" style="20"/>
    <col min="4350" max="4350" width="16" style="20" customWidth="1"/>
    <col min="4351" max="4351" width="12.44140625" style="20" customWidth="1"/>
    <col min="4352" max="4352" width="17.109375" style="20" customWidth="1"/>
    <col min="4353" max="4353" width="14.6640625" style="20" customWidth="1"/>
    <col min="4354" max="4354" width="22.88671875" style="20" customWidth="1"/>
    <col min="4355" max="4356" width="14.44140625" style="20" customWidth="1"/>
    <col min="4357" max="4358" width="16.44140625" style="20" bestFit="1" customWidth="1"/>
    <col min="4359" max="4360" width="16.44140625" style="20" customWidth="1"/>
    <col min="4361" max="4361" width="29.109375" style="20" customWidth="1"/>
    <col min="4362" max="4362" width="33" style="20" customWidth="1"/>
    <col min="4363" max="4363" width="61.44140625" style="20" bestFit="1" customWidth="1"/>
    <col min="4364" max="4605" width="8.88671875" style="20"/>
    <col min="4606" max="4606" width="16" style="20" customWidth="1"/>
    <col min="4607" max="4607" width="12.44140625" style="20" customWidth="1"/>
    <col min="4608" max="4608" width="17.109375" style="20" customWidth="1"/>
    <col min="4609" max="4609" width="14.6640625" style="20" customWidth="1"/>
    <col min="4610" max="4610" width="22.88671875" style="20" customWidth="1"/>
    <col min="4611" max="4612" width="14.44140625" style="20" customWidth="1"/>
    <col min="4613" max="4614" width="16.44140625" style="20" bestFit="1" customWidth="1"/>
    <col min="4615" max="4616" width="16.44140625" style="20" customWidth="1"/>
    <col min="4617" max="4617" width="29.109375" style="20" customWidth="1"/>
    <col min="4618" max="4618" width="33" style="20" customWidth="1"/>
    <col min="4619" max="4619" width="61.44140625" style="20" bestFit="1" customWidth="1"/>
    <col min="4620" max="4861" width="8.88671875" style="20"/>
    <col min="4862" max="4862" width="16" style="20" customWidth="1"/>
    <col min="4863" max="4863" width="12.44140625" style="20" customWidth="1"/>
    <col min="4864" max="4864" width="17.109375" style="20" customWidth="1"/>
    <col min="4865" max="4865" width="14.6640625" style="20" customWidth="1"/>
    <col min="4866" max="4866" width="22.88671875" style="20" customWidth="1"/>
    <col min="4867" max="4868" width="14.44140625" style="20" customWidth="1"/>
    <col min="4869" max="4870" width="16.44140625" style="20" bestFit="1" customWidth="1"/>
    <col min="4871" max="4872" width="16.44140625" style="20" customWidth="1"/>
    <col min="4873" max="4873" width="29.109375" style="20" customWidth="1"/>
    <col min="4874" max="4874" width="33" style="20" customWidth="1"/>
    <col min="4875" max="4875" width="61.44140625" style="20" bestFit="1" customWidth="1"/>
    <col min="4876" max="5117" width="8.88671875" style="20"/>
    <col min="5118" max="5118" width="16" style="20" customWidth="1"/>
    <col min="5119" max="5119" width="12.44140625" style="20" customWidth="1"/>
    <col min="5120" max="5120" width="17.109375" style="20" customWidth="1"/>
    <col min="5121" max="5121" width="14.6640625" style="20" customWidth="1"/>
    <col min="5122" max="5122" width="22.88671875" style="20" customWidth="1"/>
    <col min="5123" max="5124" width="14.44140625" style="20" customWidth="1"/>
    <col min="5125" max="5126" width="16.44140625" style="20" bestFit="1" customWidth="1"/>
    <col min="5127" max="5128" width="16.44140625" style="20" customWidth="1"/>
    <col min="5129" max="5129" width="29.109375" style="20" customWidth="1"/>
    <col min="5130" max="5130" width="33" style="20" customWidth="1"/>
    <col min="5131" max="5131" width="61.44140625" style="20" bestFit="1" customWidth="1"/>
    <col min="5132" max="5373" width="8.88671875" style="20"/>
    <col min="5374" max="5374" width="16" style="20" customWidth="1"/>
    <col min="5375" max="5375" width="12.44140625" style="20" customWidth="1"/>
    <col min="5376" max="5376" width="17.109375" style="20" customWidth="1"/>
    <col min="5377" max="5377" width="14.6640625" style="20" customWidth="1"/>
    <col min="5378" max="5378" width="22.88671875" style="20" customWidth="1"/>
    <col min="5379" max="5380" width="14.44140625" style="20" customWidth="1"/>
    <col min="5381" max="5382" width="16.44140625" style="20" bestFit="1" customWidth="1"/>
    <col min="5383" max="5384" width="16.44140625" style="20" customWidth="1"/>
    <col min="5385" max="5385" width="29.109375" style="20" customWidth="1"/>
    <col min="5386" max="5386" width="33" style="20" customWidth="1"/>
    <col min="5387" max="5387" width="61.44140625" style="20" bestFit="1" customWidth="1"/>
    <col min="5388" max="5629" width="8.88671875" style="20"/>
    <col min="5630" max="5630" width="16" style="20" customWidth="1"/>
    <col min="5631" max="5631" width="12.44140625" style="20" customWidth="1"/>
    <col min="5632" max="5632" width="17.109375" style="20" customWidth="1"/>
    <col min="5633" max="5633" width="14.6640625" style="20" customWidth="1"/>
    <col min="5634" max="5634" width="22.88671875" style="20" customWidth="1"/>
    <col min="5635" max="5636" width="14.44140625" style="20" customWidth="1"/>
    <col min="5637" max="5638" width="16.44140625" style="20" bestFit="1" customWidth="1"/>
    <col min="5639" max="5640" width="16.44140625" style="20" customWidth="1"/>
    <col min="5641" max="5641" width="29.109375" style="20" customWidth="1"/>
    <col min="5642" max="5642" width="33" style="20" customWidth="1"/>
    <col min="5643" max="5643" width="61.44140625" style="20" bestFit="1" customWidth="1"/>
    <col min="5644" max="5885" width="8.88671875" style="20"/>
    <col min="5886" max="5886" width="16" style="20" customWidth="1"/>
    <col min="5887" max="5887" width="12.44140625" style="20" customWidth="1"/>
    <col min="5888" max="5888" width="17.109375" style="20" customWidth="1"/>
    <col min="5889" max="5889" width="14.6640625" style="20" customWidth="1"/>
    <col min="5890" max="5890" width="22.88671875" style="20" customWidth="1"/>
    <col min="5891" max="5892" width="14.44140625" style="20" customWidth="1"/>
    <col min="5893" max="5894" width="16.44140625" style="20" bestFit="1" customWidth="1"/>
    <col min="5895" max="5896" width="16.44140625" style="20" customWidth="1"/>
    <col min="5897" max="5897" width="29.109375" style="20" customWidth="1"/>
    <col min="5898" max="5898" width="33" style="20" customWidth="1"/>
    <col min="5899" max="5899" width="61.44140625" style="20" bestFit="1" customWidth="1"/>
    <col min="5900" max="6141" width="8.88671875" style="20"/>
    <col min="6142" max="6142" width="16" style="20" customWidth="1"/>
    <col min="6143" max="6143" width="12.44140625" style="20" customWidth="1"/>
    <col min="6144" max="6144" width="17.109375" style="20" customWidth="1"/>
    <col min="6145" max="6145" width="14.6640625" style="20" customWidth="1"/>
    <col min="6146" max="6146" width="22.88671875" style="20" customWidth="1"/>
    <col min="6147" max="6148" width="14.44140625" style="20" customWidth="1"/>
    <col min="6149" max="6150" width="16.44140625" style="20" bestFit="1" customWidth="1"/>
    <col min="6151" max="6152" width="16.44140625" style="20" customWidth="1"/>
    <col min="6153" max="6153" width="29.109375" style="20" customWidth="1"/>
    <col min="6154" max="6154" width="33" style="20" customWidth="1"/>
    <col min="6155" max="6155" width="61.44140625" style="20" bestFit="1" customWidth="1"/>
    <col min="6156" max="6397" width="8.88671875" style="20"/>
    <col min="6398" max="6398" width="16" style="20" customWidth="1"/>
    <col min="6399" max="6399" width="12.44140625" style="20" customWidth="1"/>
    <col min="6400" max="6400" width="17.109375" style="20" customWidth="1"/>
    <col min="6401" max="6401" width="14.6640625" style="20" customWidth="1"/>
    <col min="6402" max="6402" width="22.88671875" style="20" customWidth="1"/>
    <col min="6403" max="6404" width="14.44140625" style="20" customWidth="1"/>
    <col min="6405" max="6406" width="16.44140625" style="20" bestFit="1" customWidth="1"/>
    <col min="6407" max="6408" width="16.44140625" style="20" customWidth="1"/>
    <col min="6409" max="6409" width="29.109375" style="20" customWidth="1"/>
    <col min="6410" max="6410" width="33" style="20" customWidth="1"/>
    <col min="6411" max="6411" width="61.44140625" style="20" bestFit="1" customWidth="1"/>
    <col min="6412" max="6653" width="8.88671875" style="20"/>
    <col min="6654" max="6654" width="16" style="20" customWidth="1"/>
    <col min="6655" max="6655" width="12.44140625" style="20" customWidth="1"/>
    <col min="6656" max="6656" width="17.109375" style="20" customWidth="1"/>
    <col min="6657" max="6657" width="14.6640625" style="20" customWidth="1"/>
    <col min="6658" max="6658" width="22.88671875" style="20" customWidth="1"/>
    <col min="6659" max="6660" width="14.44140625" style="20" customWidth="1"/>
    <col min="6661" max="6662" width="16.44140625" style="20" bestFit="1" customWidth="1"/>
    <col min="6663" max="6664" width="16.44140625" style="20" customWidth="1"/>
    <col min="6665" max="6665" width="29.109375" style="20" customWidth="1"/>
    <col min="6666" max="6666" width="33" style="20" customWidth="1"/>
    <col min="6667" max="6667" width="61.44140625" style="20" bestFit="1" customWidth="1"/>
    <col min="6668" max="6909" width="8.88671875" style="20"/>
    <col min="6910" max="6910" width="16" style="20" customWidth="1"/>
    <col min="6911" max="6911" width="12.44140625" style="20" customWidth="1"/>
    <col min="6912" max="6912" width="17.109375" style="20" customWidth="1"/>
    <col min="6913" max="6913" width="14.6640625" style="20" customWidth="1"/>
    <col min="6914" max="6914" width="22.88671875" style="20" customWidth="1"/>
    <col min="6915" max="6916" width="14.44140625" style="20" customWidth="1"/>
    <col min="6917" max="6918" width="16.44140625" style="20" bestFit="1" customWidth="1"/>
    <col min="6919" max="6920" width="16.44140625" style="20" customWidth="1"/>
    <col min="6921" max="6921" width="29.109375" style="20" customWidth="1"/>
    <col min="6922" max="6922" width="33" style="20" customWidth="1"/>
    <col min="6923" max="6923" width="61.44140625" style="20" bestFit="1" customWidth="1"/>
    <col min="6924" max="7165" width="8.88671875" style="20"/>
    <col min="7166" max="7166" width="16" style="20" customWidth="1"/>
    <col min="7167" max="7167" width="12.44140625" style="20" customWidth="1"/>
    <col min="7168" max="7168" width="17.109375" style="20" customWidth="1"/>
    <col min="7169" max="7169" width="14.6640625" style="20" customWidth="1"/>
    <col min="7170" max="7170" width="22.88671875" style="20" customWidth="1"/>
    <col min="7171" max="7172" width="14.44140625" style="20" customWidth="1"/>
    <col min="7173" max="7174" width="16.44140625" style="20" bestFit="1" customWidth="1"/>
    <col min="7175" max="7176" width="16.44140625" style="20" customWidth="1"/>
    <col min="7177" max="7177" width="29.109375" style="20" customWidth="1"/>
    <col min="7178" max="7178" width="33" style="20" customWidth="1"/>
    <col min="7179" max="7179" width="61.44140625" style="20" bestFit="1" customWidth="1"/>
    <col min="7180" max="7421" width="8.88671875" style="20"/>
    <col min="7422" max="7422" width="16" style="20" customWidth="1"/>
    <col min="7423" max="7423" width="12.44140625" style="20" customWidth="1"/>
    <col min="7424" max="7424" width="17.109375" style="20" customWidth="1"/>
    <col min="7425" max="7425" width="14.6640625" style="20" customWidth="1"/>
    <col min="7426" max="7426" width="22.88671875" style="20" customWidth="1"/>
    <col min="7427" max="7428" width="14.44140625" style="20" customWidth="1"/>
    <col min="7429" max="7430" width="16.44140625" style="20" bestFit="1" customWidth="1"/>
    <col min="7431" max="7432" width="16.44140625" style="20" customWidth="1"/>
    <col min="7433" max="7433" width="29.109375" style="20" customWidth="1"/>
    <col min="7434" max="7434" width="33" style="20" customWidth="1"/>
    <col min="7435" max="7435" width="61.44140625" style="20" bestFit="1" customWidth="1"/>
    <col min="7436" max="7677" width="8.88671875" style="20"/>
    <col min="7678" max="7678" width="16" style="20" customWidth="1"/>
    <col min="7679" max="7679" width="12.44140625" style="20" customWidth="1"/>
    <col min="7680" max="7680" width="17.109375" style="20" customWidth="1"/>
    <col min="7681" max="7681" width="14.6640625" style="20" customWidth="1"/>
    <col min="7682" max="7682" width="22.88671875" style="20" customWidth="1"/>
    <col min="7683" max="7684" width="14.44140625" style="20" customWidth="1"/>
    <col min="7685" max="7686" width="16.44140625" style="20" bestFit="1" customWidth="1"/>
    <col min="7687" max="7688" width="16.44140625" style="20" customWidth="1"/>
    <col min="7689" max="7689" width="29.109375" style="20" customWidth="1"/>
    <col min="7690" max="7690" width="33" style="20" customWidth="1"/>
    <col min="7691" max="7691" width="61.44140625" style="20" bestFit="1" customWidth="1"/>
    <col min="7692" max="7933" width="8.88671875" style="20"/>
    <col min="7934" max="7934" width="16" style="20" customWidth="1"/>
    <col min="7935" max="7935" width="12.44140625" style="20" customWidth="1"/>
    <col min="7936" max="7936" width="17.109375" style="20" customWidth="1"/>
    <col min="7937" max="7937" width="14.6640625" style="20" customWidth="1"/>
    <col min="7938" max="7938" width="22.88671875" style="20" customWidth="1"/>
    <col min="7939" max="7940" width="14.44140625" style="20" customWidth="1"/>
    <col min="7941" max="7942" width="16.44140625" style="20" bestFit="1" customWidth="1"/>
    <col min="7943" max="7944" width="16.44140625" style="20" customWidth="1"/>
    <col min="7945" max="7945" width="29.109375" style="20" customWidth="1"/>
    <col min="7946" max="7946" width="33" style="20" customWidth="1"/>
    <col min="7947" max="7947" width="61.44140625" style="20" bestFit="1" customWidth="1"/>
    <col min="7948" max="8189" width="8.88671875" style="20"/>
    <col min="8190" max="8190" width="16" style="20" customWidth="1"/>
    <col min="8191" max="8191" width="12.44140625" style="20" customWidth="1"/>
    <col min="8192" max="8192" width="17.109375" style="20" customWidth="1"/>
    <col min="8193" max="8193" width="14.6640625" style="20" customWidth="1"/>
    <col min="8194" max="8194" width="22.88671875" style="20" customWidth="1"/>
    <col min="8195" max="8196" width="14.44140625" style="20" customWidth="1"/>
    <col min="8197" max="8198" width="16.44140625" style="20" bestFit="1" customWidth="1"/>
    <col min="8199" max="8200" width="16.44140625" style="20" customWidth="1"/>
    <col min="8201" max="8201" width="29.109375" style="20" customWidth="1"/>
    <col min="8202" max="8202" width="33" style="20" customWidth="1"/>
    <col min="8203" max="8203" width="61.44140625" style="20" bestFit="1" customWidth="1"/>
    <col min="8204" max="8445" width="8.88671875" style="20"/>
    <col min="8446" max="8446" width="16" style="20" customWidth="1"/>
    <col min="8447" max="8447" width="12.44140625" style="20" customWidth="1"/>
    <col min="8448" max="8448" width="17.109375" style="20" customWidth="1"/>
    <col min="8449" max="8449" width="14.6640625" style="20" customWidth="1"/>
    <col min="8450" max="8450" width="22.88671875" style="20" customWidth="1"/>
    <col min="8451" max="8452" width="14.44140625" style="20" customWidth="1"/>
    <col min="8453" max="8454" width="16.44140625" style="20" bestFit="1" customWidth="1"/>
    <col min="8455" max="8456" width="16.44140625" style="20" customWidth="1"/>
    <col min="8457" max="8457" width="29.109375" style="20" customWidth="1"/>
    <col min="8458" max="8458" width="33" style="20" customWidth="1"/>
    <col min="8459" max="8459" width="61.44140625" style="20" bestFit="1" customWidth="1"/>
    <col min="8460" max="8701" width="8.88671875" style="20"/>
    <col min="8702" max="8702" width="16" style="20" customWidth="1"/>
    <col min="8703" max="8703" width="12.44140625" style="20" customWidth="1"/>
    <col min="8704" max="8704" width="17.109375" style="20" customWidth="1"/>
    <col min="8705" max="8705" width="14.6640625" style="20" customWidth="1"/>
    <col min="8706" max="8706" width="22.88671875" style="20" customWidth="1"/>
    <col min="8707" max="8708" width="14.44140625" style="20" customWidth="1"/>
    <col min="8709" max="8710" width="16.44140625" style="20" bestFit="1" customWidth="1"/>
    <col min="8711" max="8712" width="16.44140625" style="20" customWidth="1"/>
    <col min="8713" max="8713" width="29.109375" style="20" customWidth="1"/>
    <col min="8714" max="8714" width="33" style="20" customWidth="1"/>
    <col min="8715" max="8715" width="61.44140625" style="20" bestFit="1" customWidth="1"/>
    <col min="8716" max="8957" width="8.88671875" style="20"/>
    <col min="8958" max="8958" width="16" style="20" customWidth="1"/>
    <col min="8959" max="8959" width="12.44140625" style="20" customWidth="1"/>
    <col min="8960" max="8960" width="17.109375" style="20" customWidth="1"/>
    <col min="8961" max="8961" width="14.6640625" style="20" customWidth="1"/>
    <col min="8962" max="8962" width="22.88671875" style="20" customWidth="1"/>
    <col min="8963" max="8964" width="14.44140625" style="20" customWidth="1"/>
    <col min="8965" max="8966" width="16.44140625" style="20" bestFit="1" customWidth="1"/>
    <col min="8967" max="8968" width="16.44140625" style="20" customWidth="1"/>
    <col min="8969" max="8969" width="29.109375" style="20" customWidth="1"/>
    <col min="8970" max="8970" width="33" style="20" customWidth="1"/>
    <col min="8971" max="8971" width="61.44140625" style="20" bestFit="1" customWidth="1"/>
    <col min="8972" max="9213" width="8.88671875" style="20"/>
    <col min="9214" max="9214" width="16" style="20" customWidth="1"/>
    <col min="9215" max="9215" width="12.44140625" style="20" customWidth="1"/>
    <col min="9216" max="9216" width="17.109375" style="20" customWidth="1"/>
    <col min="9217" max="9217" width="14.6640625" style="20" customWidth="1"/>
    <col min="9218" max="9218" width="22.88671875" style="20" customWidth="1"/>
    <col min="9219" max="9220" width="14.44140625" style="20" customWidth="1"/>
    <col min="9221" max="9222" width="16.44140625" style="20" bestFit="1" customWidth="1"/>
    <col min="9223" max="9224" width="16.44140625" style="20" customWidth="1"/>
    <col min="9225" max="9225" width="29.109375" style="20" customWidth="1"/>
    <col min="9226" max="9226" width="33" style="20" customWidth="1"/>
    <col min="9227" max="9227" width="61.44140625" style="20" bestFit="1" customWidth="1"/>
    <col min="9228" max="9469" width="8.88671875" style="20"/>
    <col min="9470" max="9470" width="16" style="20" customWidth="1"/>
    <col min="9471" max="9471" width="12.44140625" style="20" customWidth="1"/>
    <col min="9472" max="9472" width="17.109375" style="20" customWidth="1"/>
    <col min="9473" max="9473" width="14.6640625" style="20" customWidth="1"/>
    <col min="9474" max="9474" width="22.88671875" style="20" customWidth="1"/>
    <col min="9475" max="9476" width="14.44140625" style="20" customWidth="1"/>
    <col min="9477" max="9478" width="16.44140625" style="20" bestFit="1" customWidth="1"/>
    <col min="9479" max="9480" width="16.44140625" style="20" customWidth="1"/>
    <col min="9481" max="9481" width="29.109375" style="20" customWidth="1"/>
    <col min="9482" max="9482" width="33" style="20" customWidth="1"/>
    <col min="9483" max="9483" width="61.44140625" style="20" bestFit="1" customWidth="1"/>
    <col min="9484" max="9725" width="8.88671875" style="20"/>
    <col min="9726" max="9726" width="16" style="20" customWidth="1"/>
    <col min="9727" max="9727" width="12.44140625" style="20" customWidth="1"/>
    <col min="9728" max="9728" width="17.109375" style="20" customWidth="1"/>
    <col min="9729" max="9729" width="14.6640625" style="20" customWidth="1"/>
    <col min="9730" max="9730" width="22.88671875" style="20" customWidth="1"/>
    <col min="9731" max="9732" width="14.44140625" style="20" customWidth="1"/>
    <col min="9733" max="9734" width="16.44140625" style="20" bestFit="1" customWidth="1"/>
    <col min="9735" max="9736" width="16.44140625" style="20" customWidth="1"/>
    <col min="9737" max="9737" width="29.109375" style="20" customWidth="1"/>
    <col min="9738" max="9738" width="33" style="20" customWidth="1"/>
    <col min="9739" max="9739" width="61.44140625" style="20" bestFit="1" customWidth="1"/>
    <col min="9740" max="9981" width="8.88671875" style="20"/>
    <col min="9982" max="9982" width="16" style="20" customWidth="1"/>
    <col min="9983" max="9983" width="12.44140625" style="20" customWidth="1"/>
    <col min="9984" max="9984" width="17.109375" style="20" customWidth="1"/>
    <col min="9985" max="9985" width="14.6640625" style="20" customWidth="1"/>
    <col min="9986" max="9986" width="22.88671875" style="20" customWidth="1"/>
    <col min="9987" max="9988" width="14.44140625" style="20" customWidth="1"/>
    <col min="9989" max="9990" width="16.44140625" style="20" bestFit="1" customWidth="1"/>
    <col min="9991" max="9992" width="16.44140625" style="20" customWidth="1"/>
    <col min="9993" max="9993" width="29.109375" style="20" customWidth="1"/>
    <col min="9994" max="9994" width="33" style="20" customWidth="1"/>
    <col min="9995" max="9995" width="61.44140625" style="20" bestFit="1" customWidth="1"/>
    <col min="9996" max="10237" width="8.88671875" style="20"/>
    <col min="10238" max="10238" width="16" style="20" customWidth="1"/>
    <col min="10239" max="10239" width="12.44140625" style="20" customWidth="1"/>
    <col min="10240" max="10240" width="17.109375" style="20" customWidth="1"/>
    <col min="10241" max="10241" width="14.6640625" style="20" customWidth="1"/>
    <col min="10242" max="10242" width="22.88671875" style="20" customWidth="1"/>
    <col min="10243" max="10244" width="14.44140625" style="20" customWidth="1"/>
    <col min="10245" max="10246" width="16.44140625" style="20" bestFit="1" customWidth="1"/>
    <col min="10247" max="10248" width="16.44140625" style="20" customWidth="1"/>
    <col min="10249" max="10249" width="29.109375" style="20" customWidth="1"/>
    <col min="10250" max="10250" width="33" style="20" customWidth="1"/>
    <col min="10251" max="10251" width="61.44140625" style="20" bestFit="1" customWidth="1"/>
    <col min="10252" max="10493" width="8.88671875" style="20"/>
    <col min="10494" max="10494" width="16" style="20" customWidth="1"/>
    <col min="10495" max="10495" width="12.44140625" style="20" customWidth="1"/>
    <col min="10496" max="10496" width="17.109375" style="20" customWidth="1"/>
    <col min="10497" max="10497" width="14.6640625" style="20" customWidth="1"/>
    <col min="10498" max="10498" width="22.88671875" style="20" customWidth="1"/>
    <col min="10499" max="10500" width="14.44140625" style="20" customWidth="1"/>
    <col min="10501" max="10502" width="16.44140625" style="20" bestFit="1" customWidth="1"/>
    <col min="10503" max="10504" width="16.44140625" style="20" customWidth="1"/>
    <col min="10505" max="10505" width="29.109375" style="20" customWidth="1"/>
    <col min="10506" max="10506" width="33" style="20" customWidth="1"/>
    <col min="10507" max="10507" width="61.44140625" style="20" bestFit="1" customWidth="1"/>
    <col min="10508" max="10749" width="8.88671875" style="20"/>
    <col min="10750" max="10750" width="16" style="20" customWidth="1"/>
    <col min="10751" max="10751" width="12.44140625" style="20" customWidth="1"/>
    <col min="10752" max="10752" width="17.109375" style="20" customWidth="1"/>
    <col min="10753" max="10753" width="14.6640625" style="20" customWidth="1"/>
    <col min="10754" max="10754" width="22.88671875" style="20" customWidth="1"/>
    <col min="10755" max="10756" width="14.44140625" style="20" customWidth="1"/>
    <col min="10757" max="10758" width="16.44140625" style="20" bestFit="1" customWidth="1"/>
    <col min="10759" max="10760" width="16.44140625" style="20" customWidth="1"/>
    <col min="10761" max="10761" width="29.109375" style="20" customWidth="1"/>
    <col min="10762" max="10762" width="33" style="20" customWidth="1"/>
    <col min="10763" max="10763" width="61.44140625" style="20" bestFit="1" customWidth="1"/>
    <col min="10764" max="11005" width="8.88671875" style="20"/>
    <col min="11006" max="11006" width="16" style="20" customWidth="1"/>
    <col min="11007" max="11007" width="12.44140625" style="20" customWidth="1"/>
    <col min="11008" max="11008" width="17.109375" style="20" customWidth="1"/>
    <col min="11009" max="11009" width="14.6640625" style="20" customWidth="1"/>
    <col min="11010" max="11010" width="22.88671875" style="20" customWidth="1"/>
    <col min="11011" max="11012" width="14.44140625" style="20" customWidth="1"/>
    <col min="11013" max="11014" width="16.44140625" style="20" bestFit="1" customWidth="1"/>
    <col min="11015" max="11016" width="16.44140625" style="20" customWidth="1"/>
    <col min="11017" max="11017" width="29.109375" style="20" customWidth="1"/>
    <col min="11018" max="11018" width="33" style="20" customWidth="1"/>
    <col min="11019" max="11019" width="61.44140625" style="20" bestFit="1" customWidth="1"/>
    <col min="11020" max="11261" width="8.88671875" style="20"/>
    <col min="11262" max="11262" width="16" style="20" customWidth="1"/>
    <col min="11263" max="11263" width="12.44140625" style="20" customWidth="1"/>
    <col min="11264" max="11264" width="17.109375" style="20" customWidth="1"/>
    <col min="11265" max="11265" width="14.6640625" style="20" customWidth="1"/>
    <col min="11266" max="11266" width="22.88671875" style="20" customWidth="1"/>
    <col min="11267" max="11268" width="14.44140625" style="20" customWidth="1"/>
    <col min="11269" max="11270" width="16.44140625" style="20" bestFit="1" customWidth="1"/>
    <col min="11271" max="11272" width="16.44140625" style="20" customWidth="1"/>
    <col min="11273" max="11273" width="29.109375" style="20" customWidth="1"/>
    <col min="11274" max="11274" width="33" style="20" customWidth="1"/>
    <col min="11275" max="11275" width="61.44140625" style="20" bestFit="1" customWidth="1"/>
    <col min="11276" max="11517" width="8.88671875" style="20"/>
    <col min="11518" max="11518" width="16" style="20" customWidth="1"/>
    <col min="11519" max="11519" width="12.44140625" style="20" customWidth="1"/>
    <col min="11520" max="11520" width="17.109375" style="20" customWidth="1"/>
    <col min="11521" max="11521" width="14.6640625" style="20" customWidth="1"/>
    <col min="11522" max="11522" width="22.88671875" style="20" customWidth="1"/>
    <col min="11523" max="11524" width="14.44140625" style="20" customWidth="1"/>
    <col min="11525" max="11526" width="16.44140625" style="20" bestFit="1" customWidth="1"/>
    <col min="11527" max="11528" width="16.44140625" style="20" customWidth="1"/>
    <col min="11529" max="11529" width="29.109375" style="20" customWidth="1"/>
    <col min="11530" max="11530" width="33" style="20" customWidth="1"/>
    <col min="11531" max="11531" width="61.44140625" style="20" bestFit="1" customWidth="1"/>
    <col min="11532" max="11773" width="8.88671875" style="20"/>
    <col min="11774" max="11774" width="16" style="20" customWidth="1"/>
    <col min="11775" max="11775" width="12.44140625" style="20" customWidth="1"/>
    <col min="11776" max="11776" width="17.109375" style="20" customWidth="1"/>
    <col min="11777" max="11777" width="14.6640625" style="20" customWidth="1"/>
    <col min="11778" max="11778" width="22.88671875" style="20" customWidth="1"/>
    <col min="11779" max="11780" width="14.44140625" style="20" customWidth="1"/>
    <col min="11781" max="11782" width="16.44140625" style="20" bestFit="1" customWidth="1"/>
    <col min="11783" max="11784" width="16.44140625" style="20" customWidth="1"/>
    <col min="11785" max="11785" width="29.109375" style="20" customWidth="1"/>
    <col min="11786" max="11786" width="33" style="20" customWidth="1"/>
    <col min="11787" max="11787" width="61.44140625" style="20" bestFit="1" customWidth="1"/>
    <col min="11788" max="12029" width="8.88671875" style="20"/>
    <col min="12030" max="12030" width="16" style="20" customWidth="1"/>
    <col min="12031" max="12031" width="12.44140625" style="20" customWidth="1"/>
    <col min="12032" max="12032" width="17.109375" style="20" customWidth="1"/>
    <col min="12033" max="12033" width="14.6640625" style="20" customWidth="1"/>
    <col min="12034" max="12034" width="22.88671875" style="20" customWidth="1"/>
    <col min="12035" max="12036" width="14.44140625" style="20" customWidth="1"/>
    <col min="12037" max="12038" width="16.44140625" style="20" bestFit="1" customWidth="1"/>
    <col min="12039" max="12040" width="16.44140625" style="20" customWidth="1"/>
    <col min="12041" max="12041" width="29.109375" style="20" customWidth="1"/>
    <col min="12042" max="12042" width="33" style="20" customWidth="1"/>
    <col min="12043" max="12043" width="61.44140625" style="20" bestFit="1" customWidth="1"/>
    <col min="12044" max="12285" width="8.88671875" style="20"/>
    <col min="12286" max="12286" width="16" style="20" customWidth="1"/>
    <col min="12287" max="12287" width="12.44140625" style="20" customWidth="1"/>
    <col min="12288" max="12288" width="17.109375" style="20" customWidth="1"/>
    <col min="12289" max="12289" width="14.6640625" style="20" customWidth="1"/>
    <col min="12290" max="12290" width="22.88671875" style="20" customWidth="1"/>
    <col min="12291" max="12292" width="14.44140625" style="20" customWidth="1"/>
    <col min="12293" max="12294" width="16.44140625" style="20" bestFit="1" customWidth="1"/>
    <col min="12295" max="12296" width="16.44140625" style="20" customWidth="1"/>
    <col min="12297" max="12297" width="29.109375" style="20" customWidth="1"/>
    <col min="12298" max="12298" width="33" style="20" customWidth="1"/>
    <col min="12299" max="12299" width="61.44140625" style="20" bestFit="1" customWidth="1"/>
    <col min="12300" max="12541" width="8.88671875" style="20"/>
    <col min="12542" max="12542" width="16" style="20" customWidth="1"/>
    <col min="12543" max="12543" width="12.44140625" style="20" customWidth="1"/>
    <col min="12544" max="12544" width="17.109375" style="20" customWidth="1"/>
    <col min="12545" max="12545" width="14.6640625" style="20" customWidth="1"/>
    <col min="12546" max="12546" width="22.88671875" style="20" customWidth="1"/>
    <col min="12547" max="12548" width="14.44140625" style="20" customWidth="1"/>
    <col min="12549" max="12550" width="16.44140625" style="20" bestFit="1" customWidth="1"/>
    <col min="12551" max="12552" width="16.44140625" style="20" customWidth="1"/>
    <col min="12553" max="12553" width="29.109375" style="20" customWidth="1"/>
    <col min="12554" max="12554" width="33" style="20" customWidth="1"/>
    <col min="12555" max="12555" width="61.44140625" style="20" bestFit="1" customWidth="1"/>
    <col min="12556" max="12797" width="8.88671875" style="20"/>
    <col min="12798" max="12798" width="16" style="20" customWidth="1"/>
    <col min="12799" max="12799" width="12.44140625" style="20" customWidth="1"/>
    <col min="12800" max="12800" width="17.109375" style="20" customWidth="1"/>
    <col min="12801" max="12801" width="14.6640625" style="20" customWidth="1"/>
    <col min="12802" max="12802" width="22.88671875" style="20" customWidth="1"/>
    <col min="12803" max="12804" width="14.44140625" style="20" customWidth="1"/>
    <col min="12805" max="12806" width="16.44140625" style="20" bestFit="1" customWidth="1"/>
    <col min="12807" max="12808" width="16.44140625" style="20" customWidth="1"/>
    <col min="12809" max="12809" width="29.109375" style="20" customWidth="1"/>
    <col min="12810" max="12810" width="33" style="20" customWidth="1"/>
    <col min="12811" max="12811" width="61.44140625" style="20" bestFit="1" customWidth="1"/>
    <col min="12812" max="13053" width="8.88671875" style="20"/>
    <col min="13054" max="13054" width="16" style="20" customWidth="1"/>
    <col min="13055" max="13055" width="12.44140625" style="20" customWidth="1"/>
    <col min="13056" max="13056" width="17.109375" style="20" customWidth="1"/>
    <col min="13057" max="13057" width="14.6640625" style="20" customWidth="1"/>
    <col min="13058" max="13058" width="22.88671875" style="20" customWidth="1"/>
    <col min="13059" max="13060" width="14.44140625" style="20" customWidth="1"/>
    <col min="13061" max="13062" width="16.44140625" style="20" bestFit="1" customWidth="1"/>
    <col min="13063" max="13064" width="16.44140625" style="20" customWidth="1"/>
    <col min="13065" max="13065" width="29.109375" style="20" customWidth="1"/>
    <col min="13066" max="13066" width="33" style="20" customWidth="1"/>
    <col min="13067" max="13067" width="61.44140625" style="20" bestFit="1" customWidth="1"/>
    <col min="13068" max="13309" width="8.88671875" style="20"/>
    <col min="13310" max="13310" width="16" style="20" customWidth="1"/>
    <col min="13311" max="13311" width="12.44140625" style="20" customWidth="1"/>
    <col min="13312" max="13312" width="17.109375" style="20" customWidth="1"/>
    <col min="13313" max="13313" width="14.6640625" style="20" customWidth="1"/>
    <col min="13314" max="13314" width="22.88671875" style="20" customWidth="1"/>
    <col min="13315" max="13316" width="14.44140625" style="20" customWidth="1"/>
    <col min="13317" max="13318" width="16.44140625" style="20" bestFit="1" customWidth="1"/>
    <col min="13319" max="13320" width="16.44140625" style="20" customWidth="1"/>
    <col min="13321" max="13321" width="29.109375" style="20" customWidth="1"/>
    <col min="13322" max="13322" width="33" style="20" customWidth="1"/>
    <col min="13323" max="13323" width="61.44140625" style="20" bestFit="1" customWidth="1"/>
    <col min="13324" max="13565" width="8.88671875" style="20"/>
    <col min="13566" max="13566" width="16" style="20" customWidth="1"/>
    <col min="13567" max="13567" width="12.44140625" style="20" customWidth="1"/>
    <col min="13568" max="13568" width="17.109375" style="20" customWidth="1"/>
    <col min="13569" max="13569" width="14.6640625" style="20" customWidth="1"/>
    <col min="13570" max="13570" width="22.88671875" style="20" customWidth="1"/>
    <col min="13571" max="13572" width="14.44140625" style="20" customWidth="1"/>
    <col min="13573" max="13574" width="16.44140625" style="20" bestFit="1" customWidth="1"/>
    <col min="13575" max="13576" width="16.44140625" style="20" customWidth="1"/>
    <col min="13577" max="13577" width="29.109375" style="20" customWidth="1"/>
    <col min="13578" max="13578" width="33" style="20" customWidth="1"/>
    <col min="13579" max="13579" width="61.44140625" style="20" bestFit="1" customWidth="1"/>
    <col min="13580" max="13821" width="8.88671875" style="20"/>
    <col min="13822" max="13822" width="16" style="20" customWidth="1"/>
    <col min="13823" max="13823" width="12.44140625" style="20" customWidth="1"/>
    <col min="13824" max="13824" width="17.109375" style="20" customWidth="1"/>
    <col min="13825" max="13825" width="14.6640625" style="20" customWidth="1"/>
    <col min="13826" max="13826" width="22.88671875" style="20" customWidth="1"/>
    <col min="13827" max="13828" width="14.44140625" style="20" customWidth="1"/>
    <col min="13829" max="13830" width="16.44140625" style="20" bestFit="1" customWidth="1"/>
    <col min="13831" max="13832" width="16.44140625" style="20" customWidth="1"/>
    <col min="13833" max="13833" width="29.109375" style="20" customWidth="1"/>
    <col min="13834" max="13834" width="33" style="20" customWidth="1"/>
    <col min="13835" max="13835" width="61.44140625" style="20" bestFit="1" customWidth="1"/>
    <col min="13836" max="14077" width="8.88671875" style="20"/>
    <col min="14078" max="14078" width="16" style="20" customWidth="1"/>
    <col min="14079" max="14079" width="12.44140625" style="20" customWidth="1"/>
    <col min="14080" max="14080" width="17.109375" style="20" customWidth="1"/>
    <col min="14081" max="14081" width="14.6640625" style="20" customWidth="1"/>
    <col min="14082" max="14082" width="22.88671875" style="20" customWidth="1"/>
    <col min="14083" max="14084" width="14.44140625" style="20" customWidth="1"/>
    <col min="14085" max="14086" width="16.44140625" style="20" bestFit="1" customWidth="1"/>
    <col min="14087" max="14088" width="16.44140625" style="20" customWidth="1"/>
    <col min="14089" max="14089" width="29.109375" style="20" customWidth="1"/>
    <col min="14090" max="14090" width="33" style="20" customWidth="1"/>
    <col min="14091" max="14091" width="61.44140625" style="20" bestFit="1" customWidth="1"/>
    <col min="14092" max="14333" width="8.88671875" style="20"/>
    <col min="14334" max="14334" width="16" style="20" customWidth="1"/>
    <col min="14335" max="14335" width="12.44140625" style="20" customWidth="1"/>
    <col min="14336" max="14336" width="17.109375" style="20" customWidth="1"/>
    <col min="14337" max="14337" width="14.6640625" style="20" customWidth="1"/>
    <col min="14338" max="14338" width="22.88671875" style="20" customWidth="1"/>
    <col min="14339" max="14340" width="14.44140625" style="20" customWidth="1"/>
    <col min="14341" max="14342" width="16.44140625" style="20" bestFit="1" customWidth="1"/>
    <col min="14343" max="14344" width="16.44140625" style="20" customWidth="1"/>
    <col min="14345" max="14345" width="29.109375" style="20" customWidth="1"/>
    <col min="14346" max="14346" width="33" style="20" customWidth="1"/>
    <col min="14347" max="14347" width="61.44140625" style="20" bestFit="1" customWidth="1"/>
    <col min="14348" max="14589" width="8.88671875" style="20"/>
    <col min="14590" max="14590" width="16" style="20" customWidth="1"/>
    <col min="14591" max="14591" width="12.44140625" style="20" customWidth="1"/>
    <col min="14592" max="14592" width="17.109375" style="20" customWidth="1"/>
    <col min="14593" max="14593" width="14.6640625" style="20" customWidth="1"/>
    <col min="14594" max="14594" width="22.88671875" style="20" customWidth="1"/>
    <col min="14595" max="14596" width="14.44140625" style="20" customWidth="1"/>
    <col min="14597" max="14598" width="16.44140625" style="20" bestFit="1" customWidth="1"/>
    <col min="14599" max="14600" width="16.44140625" style="20" customWidth="1"/>
    <col min="14601" max="14601" width="29.109375" style="20" customWidth="1"/>
    <col min="14602" max="14602" width="33" style="20" customWidth="1"/>
    <col min="14603" max="14603" width="61.44140625" style="20" bestFit="1" customWidth="1"/>
    <col min="14604" max="14845" width="8.88671875" style="20"/>
    <col min="14846" max="14846" width="16" style="20" customWidth="1"/>
    <col min="14847" max="14847" width="12.44140625" style="20" customWidth="1"/>
    <col min="14848" max="14848" width="17.109375" style="20" customWidth="1"/>
    <col min="14849" max="14849" width="14.6640625" style="20" customWidth="1"/>
    <col min="14850" max="14850" width="22.88671875" style="20" customWidth="1"/>
    <col min="14851" max="14852" width="14.44140625" style="20" customWidth="1"/>
    <col min="14853" max="14854" width="16.44140625" style="20" bestFit="1" customWidth="1"/>
    <col min="14855" max="14856" width="16.44140625" style="20" customWidth="1"/>
    <col min="14857" max="14857" width="29.109375" style="20" customWidth="1"/>
    <col min="14858" max="14858" width="33" style="20" customWidth="1"/>
    <col min="14859" max="14859" width="61.44140625" style="20" bestFit="1" customWidth="1"/>
    <col min="14860" max="15101" width="8.88671875" style="20"/>
    <col min="15102" max="15102" width="16" style="20" customWidth="1"/>
    <col min="15103" max="15103" width="12.44140625" style="20" customWidth="1"/>
    <col min="15104" max="15104" width="17.109375" style="20" customWidth="1"/>
    <col min="15105" max="15105" width="14.6640625" style="20" customWidth="1"/>
    <col min="15106" max="15106" width="22.88671875" style="20" customWidth="1"/>
    <col min="15107" max="15108" width="14.44140625" style="20" customWidth="1"/>
    <col min="15109" max="15110" width="16.44140625" style="20" bestFit="1" customWidth="1"/>
    <col min="15111" max="15112" width="16.44140625" style="20" customWidth="1"/>
    <col min="15113" max="15113" width="29.109375" style="20" customWidth="1"/>
    <col min="15114" max="15114" width="33" style="20" customWidth="1"/>
    <col min="15115" max="15115" width="61.44140625" style="20" bestFit="1" customWidth="1"/>
    <col min="15116" max="15357" width="8.88671875" style="20"/>
    <col min="15358" max="15358" width="16" style="20" customWidth="1"/>
    <col min="15359" max="15359" width="12.44140625" style="20" customWidth="1"/>
    <col min="15360" max="15360" width="17.109375" style="20" customWidth="1"/>
    <col min="15361" max="15361" width="14.6640625" style="20" customWidth="1"/>
    <col min="15362" max="15362" width="22.88671875" style="20" customWidth="1"/>
    <col min="15363" max="15364" width="14.44140625" style="20" customWidth="1"/>
    <col min="15365" max="15366" width="16.44140625" style="20" bestFit="1" customWidth="1"/>
    <col min="15367" max="15368" width="16.44140625" style="20" customWidth="1"/>
    <col min="15369" max="15369" width="29.109375" style="20" customWidth="1"/>
    <col min="15370" max="15370" width="33" style="20" customWidth="1"/>
    <col min="15371" max="15371" width="61.44140625" style="20" bestFit="1" customWidth="1"/>
    <col min="15372" max="15613" width="8.88671875" style="20"/>
    <col min="15614" max="15614" width="16" style="20" customWidth="1"/>
    <col min="15615" max="15615" width="12.44140625" style="20" customWidth="1"/>
    <col min="15616" max="15616" width="17.109375" style="20" customWidth="1"/>
    <col min="15617" max="15617" width="14.6640625" style="20" customWidth="1"/>
    <col min="15618" max="15618" width="22.88671875" style="20" customWidth="1"/>
    <col min="15619" max="15620" width="14.44140625" style="20" customWidth="1"/>
    <col min="15621" max="15622" width="16.44140625" style="20" bestFit="1" customWidth="1"/>
    <col min="15623" max="15624" width="16.44140625" style="20" customWidth="1"/>
    <col min="15625" max="15625" width="29.109375" style="20" customWidth="1"/>
    <col min="15626" max="15626" width="33" style="20" customWidth="1"/>
    <col min="15627" max="15627" width="61.44140625" style="20" bestFit="1" customWidth="1"/>
    <col min="15628" max="15869" width="8.88671875" style="20"/>
    <col min="15870" max="15870" width="16" style="20" customWidth="1"/>
    <col min="15871" max="15871" width="12.44140625" style="20" customWidth="1"/>
    <col min="15872" max="15872" width="17.109375" style="20" customWidth="1"/>
    <col min="15873" max="15873" width="14.6640625" style="20" customWidth="1"/>
    <col min="15874" max="15874" width="22.88671875" style="20" customWidth="1"/>
    <col min="15875" max="15876" width="14.44140625" style="20" customWidth="1"/>
    <col min="15877" max="15878" width="16.44140625" style="20" bestFit="1" customWidth="1"/>
    <col min="15879" max="15880" width="16.44140625" style="20" customWidth="1"/>
    <col min="15881" max="15881" width="29.109375" style="20" customWidth="1"/>
    <col min="15882" max="15882" width="33" style="20" customWidth="1"/>
    <col min="15883" max="15883" width="61.44140625" style="20" bestFit="1" customWidth="1"/>
    <col min="15884" max="16125" width="8.88671875" style="20"/>
    <col min="16126" max="16126" width="16" style="20" customWidth="1"/>
    <col min="16127" max="16127" width="12.44140625" style="20" customWidth="1"/>
    <col min="16128" max="16128" width="17.109375" style="20" customWidth="1"/>
    <col min="16129" max="16129" width="14.6640625" style="20" customWidth="1"/>
    <col min="16130" max="16130" width="22.88671875" style="20" customWidth="1"/>
    <col min="16131" max="16132" width="14.44140625" style="20" customWidth="1"/>
    <col min="16133" max="16134" width="16.44140625" style="20" bestFit="1" customWidth="1"/>
    <col min="16135" max="16136" width="16.44140625" style="20" customWidth="1"/>
    <col min="16137" max="16137" width="29.109375" style="20" customWidth="1"/>
    <col min="16138" max="16138" width="33" style="20" customWidth="1"/>
    <col min="16139" max="16139" width="61.44140625" style="20" bestFit="1" customWidth="1"/>
    <col min="16140" max="16384" width="8.88671875" style="20"/>
  </cols>
  <sheetData>
    <row r="1" spans="1:11" ht="14.4">
      <c r="J1" s="75" t="s">
        <v>131</v>
      </c>
    </row>
    <row r="3" spans="1:11" ht="31.2">
      <c r="H3" s="83" t="s">
        <v>208</v>
      </c>
    </row>
    <row r="4" spans="1:11" ht="15.6">
      <c r="G4" s="21" t="s">
        <v>241</v>
      </c>
      <c r="H4" s="140" t="s">
        <v>209</v>
      </c>
    </row>
    <row r="8" spans="1:11" s="167" customFormat="1" ht="29.4" thickBot="1">
      <c r="A8" s="166"/>
      <c r="H8" s="184"/>
      <c r="I8" s="184" t="s">
        <v>322</v>
      </c>
      <c r="J8" s="184" t="s">
        <v>323</v>
      </c>
    </row>
    <row r="9" spans="1:11" s="23" customFormat="1" ht="12.75" customHeight="1">
      <c r="A9" s="222" t="s">
        <v>78</v>
      </c>
      <c r="B9" s="224" t="s">
        <v>79</v>
      </c>
      <c r="C9" s="224" t="s">
        <v>109</v>
      </c>
      <c r="D9" s="224" t="s">
        <v>80</v>
      </c>
      <c r="E9" s="224" t="s">
        <v>7</v>
      </c>
      <c r="F9" s="244" t="s">
        <v>210</v>
      </c>
      <c r="G9" s="229" t="s">
        <v>114</v>
      </c>
      <c r="H9" s="232" t="s">
        <v>81</v>
      </c>
      <c r="I9" s="243" t="s">
        <v>13</v>
      </c>
      <c r="J9" s="232" t="s">
        <v>15</v>
      </c>
      <c r="K9" s="242" t="s">
        <v>325</v>
      </c>
    </row>
    <row r="10" spans="1:11" s="23" customFormat="1" ht="15" customHeight="1">
      <c r="A10" s="235"/>
      <c r="B10" s="236"/>
      <c r="C10" s="236"/>
      <c r="D10" s="236"/>
      <c r="E10" s="236"/>
      <c r="F10" s="245"/>
      <c r="G10" s="237"/>
      <c r="H10" s="233"/>
      <c r="I10" s="233"/>
      <c r="J10" s="234"/>
      <c r="K10" s="242"/>
    </row>
    <row r="11" spans="1:11" s="46" customFormat="1" ht="33" customHeight="1">
      <c r="A11" s="24" t="s">
        <v>85</v>
      </c>
      <c r="B11" s="25" t="s">
        <v>85</v>
      </c>
      <c r="C11" s="25"/>
      <c r="D11" s="27" t="s">
        <v>87</v>
      </c>
      <c r="E11" s="26" t="s">
        <v>86</v>
      </c>
      <c r="F11" s="26"/>
      <c r="G11" s="28" t="str">
        <f>VLOOKUP($D11,'[1]2018'!$D$27:$M$325,2,0)</f>
        <v>Jan - Feb</v>
      </c>
      <c r="H11" s="44"/>
      <c r="I11" s="44"/>
      <c r="J11" s="44"/>
      <c r="K11" s="185" t="s">
        <v>324</v>
      </c>
    </row>
    <row r="12" spans="1:11" s="46" customFormat="1" ht="33" customHeight="1">
      <c r="A12" s="50" t="s">
        <v>85</v>
      </c>
      <c r="B12" s="30" t="s">
        <v>85</v>
      </c>
      <c r="C12" s="30"/>
      <c r="D12" s="32" t="s">
        <v>89</v>
      </c>
      <c r="E12" s="31" t="s">
        <v>88</v>
      </c>
      <c r="F12" s="31"/>
      <c r="G12" s="33" t="str">
        <f>VLOOKUP($D12,'[1]2018'!$D$27:$M$325,2,0)</f>
        <v>Apr  - May</v>
      </c>
      <c r="H12" s="47"/>
      <c r="I12" s="47"/>
      <c r="J12" s="47"/>
      <c r="K12" s="29"/>
    </row>
    <row r="13" spans="1:11" s="46" customFormat="1" ht="33" customHeight="1">
      <c r="A13" s="50" t="s">
        <v>85</v>
      </c>
      <c r="B13" s="30" t="s">
        <v>85</v>
      </c>
      <c r="C13" s="30"/>
      <c r="D13" s="32" t="s">
        <v>91</v>
      </c>
      <c r="E13" s="31" t="s">
        <v>90</v>
      </c>
      <c r="F13" s="31"/>
      <c r="G13" s="33" t="str">
        <f>VLOOKUP($D13,'[1]2018'!$D$27:$M$325,2,0)</f>
        <v>Mar - Jul</v>
      </c>
      <c r="H13" s="47"/>
      <c r="I13" s="47"/>
      <c r="J13" s="47"/>
      <c r="K13" s="29"/>
    </row>
    <row r="14" spans="1:11" s="46" customFormat="1" ht="33" customHeight="1">
      <c r="A14" s="231" t="s">
        <v>107</v>
      </c>
      <c r="B14" s="231"/>
      <c r="C14" s="231"/>
      <c r="D14" s="231"/>
      <c r="E14" s="231"/>
      <c r="F14" s="231"/>
      <c r="G14" s="231"/>
      <c r="H14" s="69"/>
      <c r="I14" s="69"/>
      <c r="J14" s="69"/>
      <c r="K14" s="29"/>
    </row>
    <row r="15" spans="1:11" s="68" customFormat="1" ht="33" customHeight="1" thickBot="1">
      <c r="A15" s="37"/>
      <c r="B15" s="38"/>
      <c r="C15" s="38"/>
      <c r="D15" s="40"/>
      <c r="E15" s="39"/>
      <c r="F15" s="39"/>
      <c r="G15" s="41"/>
      <c r="H15" s="64"/>
      <c r="I15" s="64"/>
      <c r="J15" s="64"/>
      <c r="K15" s="67"/>
    </row>
    <row r="16" spans="1:11" ht="12.75" customHeight="1">
      <c r="A16" s="222" t="s">
        <v>78</v>
      </c>
      <c r="B16" s="224" t="s">
        <v>79</v>
      </c>
      <c r="C16" s="224" t="s">
        <v>109</v>
      </c>
      <c r="D16" s="224" t="s">
        <v>80</v>
      </c>
      <c r="E16" s="224" t="s">
        <v>64</v>
      </c>
      <c r="F16" s="244" t="s">
        <v>210</v>
      </c>
      <c r="G16" s="229" t="s">
        <v>114</v>
      </c>
      <c r="H16" s="232" t="s">
        <v>12</v>
      </c>
      <c r="I16" s="243" t="s">
        <v>82</v>
      </c>
      <c r="J16" s="232" t="s">
        <v>83</v>
      </c>
    </row>
    <row r="17" spans="1:11">
      <c r="A17" s="235"/>
      <c r="B17" s="236"/>
      <c r="C17" s="236"/>
      <c r="D17" s="236"/>
      <c r="E17" s="236"/>
      <c r="F17" s="245"/>
      <c r="G17" s="237"/>
      <c r="H17" s="233"/>
      <c r="I17" s="233"/>
      <c r="J17" s="234"/>
    </row>
    <row r="18" spans="1:11" ht="27.6">
      <c r="A18" s="24" t="s">
        <v>92</v>
      </c>
      <c r="B18" s="25" t="s">
        <v>93</v>
      </c>
      <c r="C18" s="25"/>
      <c r="D18" s="27" t="s">
        <v>95</v>
      </c>
      <c r="E18" s="26" t="s">
        <v>94</v>
      </c>
      <c r="F18" s="26"/>
      <c r="G18" s="52" t="str">
        <f>VLOOKUP($D18,'[1]2018'!$D$27:$M$325,2,0)</f>
        <v>Sep'17-Feb'18</v>
      </c>
      <c r="H18" s="44"/>
      <c r="I18" s="44"/>
      <c r="J18" s="44"/>
    </row>
    <row r="19" spans="1:11" ht="28.2" thickBot="1">
      <c r="A19" s="43" t="s">
        <v>92</v>
      </c>
      <c r="B19" s="34" t="s">
        <v>93</v>
      </c>
      <c r="C19" s="34"/>
      <c r="D19" s="36" t="s">
        <v>97</v>
      </c>
      <c r="E19" s="35" t="s">
        <v>96</v>
      </c>
      <c r="F19" s="35"/>
      <c r="G19" s="53" t="str">
        <f>VLOOKUP($D19,'[1]2018'!$D$27:$M$325,2,0)</f>
        <v>Sep'17-Feb'18</v>
      </c>
      <c r="H19" s="51"/>
      <c r="I19" s="51"/>
      <c r="J19" s="51"/>
    </row>
    <row r="20" spans="1:11" s="46" customFormat="1" ht="33" customHeight="1">
      <c r="A20" s="231" t="s">
        <v>107</v>
      </c>
      <c r="B20" s="231"/>
      <c r="C20" s="231"/>
      <c r="D20" s="231"/>
      <c r="E20" s="231"/>
      <c r="F20" s="231"/>
      <c r="G20" s="231"/>
      <c r="H20" s="69"/>
      <c r="I20" s="69"/>
      <c r="J20" s="69"/>
      <c r="K20" s="29"/>
    </row>
    <row r="21" spans="1:11" ht="14.4" thickBot="1">
      <c r="H21" s="42">
        <f>SUBTOTAL(9,H18:H19)</f>
        <v>0</v>
      </c>
      <c r="I21" s="42">
        <f>SUBTOTAL(9,I18:I19)</f>
        <v>0</v>
      </c>
      <c r="J21" s="42"/>
    </row>
    <row r="22" spans="1:11" ht="12.6" customHeight="1">
      <c r="A22" s="222" t="s">
        <v>78</v>
      </c>
      <c r="B22" s="224" t="s">
        <v>79</v>
      </c>
      <c r="C22" s="224" t="s">
        <v>109</v>
      </c>
      <c r="D22" s="224" t="s">
        <v>80</v>
      </c>
      <c r="E22" s="224" t="s">
        <v>64</v>
      </c>
      <c r="F22" s="244" t="s">
        <v>210</v>
      </c>
      <c r="G22" s="229" t="s">
        <v>114</v>
      </c>
      <c r="H22" s="232" t="s">
        <v>12</v>
      </c>
      <c r="I22" s="232" t="s">
        <v>82</v>
      </c>
      <c r="J22" s="232" t="s">
        <v>83</v>
      </c>
      <c r="K22" s="54"/>
    </row>
    <row r="23" spans="1:11" ht="12.6" customHeight="1">
      <c r="A23" s="235"/>
      <c r="B23" s="236"/>
      <c r="C23" s="236"/>
      <c r="D23" s="236"/>
      <c r="E23" s="236"/>
      <c r="F23" s="245"/>
      <c r="G23" s="237"/>
      <c r="H23" s="233"/>
      <c r="I23" s="234"/>
      <c r="J23" s="234"/>
      <c r="K23" s="54"/>
    </row>
    <row r="24" spans="1:11" ht="40.5" customHeight="1">
      <c r="A24" s="50" t="s">
        <v>98</v>
      </c>
      <c r="B24" s="30" t="s">
        <v>99</v>
      </c>
      <c r="C24" s="30"/>
      <c r="D24" s="56" t="s">
        <v>101</v>
      </c>
      <c r="E24" s="55" t="s">
        <v>100</v>
      </c>
      <c r="F24" s="55"/>
      <c r="G24" s="57" t="str">
        <f>VLOOKUP($D24,'[1]2018'!$D$27:$M$325,2,0)</f>
        <v>Apr - May</v>
      </c>
      <c r="H24" s="49"/>
      <c r="I24" s="58"/>
      <c r="J24" s="58"/>
      <c r="K24" s="54"/>
    </row>
    <row r="25" spans="1:11" s="46" customFormat="1" ht="33" customHeight="1">
      <c r="A25" s="231" t="s">
        <v>107</v>
      </c>
      <c r="B25" s="231"/>
      <c r="C25" s="231"/>
      <c r="D25" s="231"/>
      <c r="E25" s="231"/>
      <c r="F25" s="231"/>
      <c r="G25" s="231"/>
      <c r="H25" s="69"/>
      <c r="I25" s="69"/>
      <c r="J25" s="69"/>
      <c r="K25" s="29"/>
    </row>
    <row r="26" spans="1:11">
      <c r="H26" s="42">
        <f>SUBTOTAL(9,H24:H24)</f>
        <v>0</v>
      </c>
      <c r="I26" s="42">
        <f>SUBTOTAL(9,I24:I24)</f>
        <v>0</v>
      </c>
      <c r="J26" s="42"/>
      <c r="K26" s="29"/>
    </row>
    <row r="27" spans="1:11" ht="14.4" thickBot="1">
      <c r="H27" s="42"/>
      <c r="I27" s="42"/>
      <c r="J27" s="42"/>
    </row>
    <row r="28" spans="1:11" ht="12.75" customHeight="1">
      <c r="A28" s="222" t="s">
        <v>78</v>
      </c>
      <c r="B28" s="224" t="s">
        <v>79</v>
      </c>
      <c r="C28" s="224" t="s">
        <v>109</v>
      </c>
      <c r="D28" s="224" t="s">
        <v>80</v>
      </c>
      <c r="E28" s="224" t="s">
        <v>64</v>
      </c>
      <c r="F28" s="244" t="s">
        <v>210</v>
      </c>
      <c r="G28" s="229" t="s">
        <v>114</v>
      </c>
      <c r="H28" s="232" t="s">
        <v>12</v>
      </c>
      <c r="I28" s="232" t="s">
        <v>82</v>
      </c>
      <c r="J28" s="232" t="s">
        <v>83</v>
      </c>
      <c r="K28" s="54"/>
    </row>
    <row r="29" spans="1:11" ht="12.75" customHeight="1">
      <c r="A29" s="235"/>
      <c r="B29" s="236"/>
      <c r="C29" s="236"/>
      <c r="D29" s="236"/>
      <c r="E29" s="236"/>
      <c r="F29" s="245"/>
      <c r="G29" s="237"/>
      <c r="H29" s="233"/>
      <c r="I29" s="234"/>
      <c r="J29" s="234"/>
      <c r="K29" s="54"/>
    </row>
    <row r="30" spans="1:11" ht="29.25" customHeight="1" thickBot="1">
      <c r="A30" s="43" t="s">
        <v>102</v>
      </c>
      <c r="B30" s="30" t="s">
        <v>102</v>
      </c>
      <c r="C30" s="30"/>
      <c r="D30" s="60" t="s">
        <v>104</v>
      </c>
      <c r="E30" s="59" t="s">
        <v>103</v>
      </c>
      <c r="F30" s="60"/>
      <c r="G30" s="61" t="str">
        <f>VLOOKUP($D30,'[1]2018'!$D$27:$M$325,2,0)</f>
        <v>Aug</v>
      </c>
      <c r="H30" s="49"/>
      <c r="I30" s="62"/>
      <c r="J30" s="62"/>
      <c r="K30" s="54"/>
    </row>
    <row r="31" spans="1:11" s="46" customFormat="1" ht="33" customHeight="1">
      <c r="A31" s="231" t="s">
        <v>107</v>
      </c>
      <c r="B31" s="231"/>
      <c r="C31" s="231"/>
      <c r="D31" s="231"/>
      <c r="E31" s="231"/>
      <c r="F31" s="231"/>
      <c r="G31" s="231"/>
      <c r="H31" s="69"/>
      <c r="I31" s="69"/>
      <c r="J31" s="69"/>
      <c r="K31" s="29"/>
    </row>
    <row r="32" spans="1:11">
      <c r="H32" s="42">
        <f>SUBTOTAL(9,H30:H30)</f>
        <v>0</v>
      </c>
      <c r="I32" s="42">
        <f>SUBTOTAL(9,I30:I30)</f>
        <v>0</v>
      </c>
      <c r="J32" s="42"/>
    </row>
    <row r="33" spans="8:10">
      <c r="H33" s="42"/>
      <c r="I33" s="42"/>
      <c r="J33" s="42"/>
    </row>
    <row r="34" spans="8:10" ht="14.4">
      <c r="H34"/>
      <c r="I34"/>
      <c r="J34"/>
    </row>
  </sheetData>
  <mergeCells count="45">
    <mergeCell ref="J28:J29"/>
    <mergeCell ref="A31:G31"/>
    <mergeCell ref="F28:F29"/>
    <mergeCell ref="A25:G25"/>
    <mergeCell ref="A28:A29"/>
    <mergeCell ref="B28:B29"/>
    <mergeCell ref="C28:C29"/>
    <mergeCell ref="D28:D29"/>
    <mergeCell ref="E28:E29"/>
    <mergeCell ref="G28:G29"/>
    <mergeCell ref="H28:H29"/>
    <mergeCell ref="I28:I29"/>
    <mergeCell ref="H22:H23"/>
    <mergeCell ref="I22:I23"/>
    <mergeCell ref="J22:J23"/>
    <mergeCell ref="A22:A23"/>
    <mergeCell ref="B22:B23"/>
    <mergeCell ref="C22:C23"/>
    <mergeCell ref="D22:D23"/>
    <mergeCell ref="E22:E23"/>
    <mergeCell ref="G22:G23"/>
    <mergeCell ref="F22:F23"/>
    <mergeCell ref="J16:J17"/>
    <mergeCell ref="A20:G20"/>
    <mergeCell ref="F16:F17"/>
    <mergeCell ref="A14:G14"/>
    <mergeCell ref="A16:A17"/>
    <mergeCell ref="B16:B17"/>
    <mergeCell ref="C16:C17"/>
    <mergeCell ref="D16:D17"/>
    <mergeCell ref="E16:E17"/>
    <mergeCell ref="G16:G17"/>
    <mergeCell ref="H16:H17"/>
    <mergeCell ref="I16:I17"/>
    <mergeCell ref="K9:K10"/>
    <mergeCell ref="H9:H10"/>
    <mergeCell ref="I9:I10"/>
    <mergeCell ref="J9:J10"/>
    <mergeCell ref="A9:A10"/>
    <mergeCell ref="B9:B10"/>
    <mergeCell ref="C9:C10"/>
    <mergeCell ref="D9:D10"/>
    <mergeCell ref="E9:E10"/>
    <mergeCell ref="G9:G10"/>
    <mergeCell ref="F9:F10"/>
  </mergeCells>
  <hyperlinks>
    <hyperlink ref="J1" location="'List of reports'!A1" display="Trở về" xr:uid="{00000000-0004-0000-0C00-000000000000}"/>
  </hyperlinks>
  <pageMargins left="0.28000000000000003" right="0.17" top="0.42" bottom="0.23" header="0.3" footer="0.17"/>
  <pageSetup scale="80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"/>
  <sheetViews>
    <sheetView workbookViewId="0">
      <selection activeCell="F11" sqref="F11"/>
    </sheetView>
  </sheetViews>
  <sheetFormatPr defaultRowHeight="14.4"/>
  <cols>
    <col min="6" max="6" width="17.44140625" bestFit="1" customWidth="1"/>
  </cols>
  <sheetData>
    <row r="1" spans="1:9">
      <c r="A1" t="s">
        <v>255</v>
      </c>
    </row>
    <row r="2" spans="1:9">
      <c r="F2" t="s">
        <v>350</v>
      </c>
    </row>
    <row r="3" spans="1:9">
      <c r="F3" t="s">
        <v>253</v>
      </c>
      <c r="G3" t="s">
        <v>254</v>
      </c>
    </row>
    <row r="4" spans="1:9">
      <c r="A4" t="s">
        <v>247</v>
      </c>
      <c r="B4" t="s">
        <v>256</v>
      </c>
      <c r="C4" t="s">
        <v>248</v>
      </c>
      <c r="D4" t="s">
        <v>249</v>
      </c>
      <c r="E4" t="s">
        <v>250</v>
      </c>
      <c r="F4" t="s">
        <v>251</v>
      </c>
      <c r="G4" t="s">
        <v>252</v>
      </c>
      <c r="H4" t="s">
        <v>270</v>
      </c>
      <c r="I4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List of reports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NAMNN</cp:lastModifiedBy>
  <cp:lastPrinted>2018-06-26T07:39:27Z</cp:lastPrinted>
  <dcterms:created xsi:type="dcterms:W3CDTF">2018-06-25T05:04:15Z</dcterms:created>
  <dcterms:modified xsi:type="dcterms:W3CDTF">2020-08-13T03:20:29Z</dcterms:modified>
</cp:coreProperties>
</file>